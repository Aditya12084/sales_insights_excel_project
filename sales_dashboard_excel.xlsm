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ditya Patayane\Downloads\"/>
    </mc:Choice>
  </mc:AlternateContent>
  <xr:revisionPtr revIDLastSave="0" documentId="8_{BB0FED54-E06A-4961-B0D7-F0A75507DED0}" xr6:coauthVersionLast="47" xr6:coauthVersionMax="47" xr10:uidLastSave="{00000000-0000-0000-0000-000000000000}"/>
  <bookViews>
    <workbookView xWindow="-108" yWindow="-108" windowWidth="23256" windowHeight="12456" xr2:uid="{81D512C5-DFD0-45A9-BA7A-3679803E1A90}"/>
  </bookViews>
  <sheets>
    <sheet name="RAW DATA" sheetId="1" r:id="rId1"/>
    <sheet name="Dashboard" sheetId="4" r:id="rId2"/>
  </sheets>
  <definedNames>
    <definedName name="Slicer_Region1">#N/A</definedName>
  </definedNames>
  <calcPr calcId="191029"/>
  <pivotCaches>
    <pivotCache cacheId="12"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45" i="1" l="1"/>
  <c r="I145" i="1"/>
  <c r="I2" i="1"/>
  <c r="K2" i="1"/>
  <c r="L2" i="1" s="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alcChain>
</file>

<file path=xl/sharedStrings.xml><?xml version="1.0" encoding="utf-8"?>
<sst xmlns="http://schemas.openxmlformats.org/spreadsheetml/2006/main" count="490" uniqueCount="315">
  <si>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</si>
  <si>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</si>
  <si>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</si>
  <si>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</si>
  <si>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</si>
  <si>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</si>
  <si>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</si>
  <si>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</si>
  <si>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</si>
  <si>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</si>
  <si>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</si>
  <si>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</si>
  <si>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</si>
  <si>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</si>
  <si>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</si>
  <si>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</si>
  <si>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</si>
  <si>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</si>
  <si>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</si>
  <si>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</si>
  <si>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</si>
  <si>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</si>
  <si>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</si>
  <si>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</si>
  <si>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</si>
  <si>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</si>
  <si>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</si>
  <si>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</si>
  <si>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</si>
  <si>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</si>
  <si>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</si>
  <si>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</si>
  <si>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</si>
  <si>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</si>
  <si>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</si>
  <si>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</si>
  <si>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</si>
  <si>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</si>
  <si>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</si>
  <si>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</si>
  <si>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</si>
  <si>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</si>
  <si>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</si>
  <si>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</si>
  <si>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</si>
  <si>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</si>
  <si>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</si>
  <si>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</si>
  <si>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</si>
  <si>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</si>
  <si>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</si>
  <si>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</si>
  <si>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</si>
  <si>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</si>
  <si>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</si>
  <si>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</si>
  <si>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</si>
  <si>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</si>
  <si>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</si>
  <si>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</si>
  <si>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</si>
  <si>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</si>
  <si>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</si>
  <si>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</si>
  <si>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</si>
  <si>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</si>
  <si>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</si>
  <si>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</si>
  <si>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</si>
  <si>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</si>
  <si>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</si>
  <si>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</si>
  <si>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</si>
  <si>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</si>
  <si>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</si>
  <si>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</si>
  <si>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</si>
  <si>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</si>
  <si>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</si>
  <si>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</si>
  <si>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</si>
  <si>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</si>
  <si>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</si>
  <si>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</si>
  <si>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</si>
  <si>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</si>
  <si>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</si>
  <si>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</si>
  <si>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</si>
  <si>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</si>
  <si>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</si>
  <si>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</si>
  <si>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</si>
  <si>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</si>
  <si>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</si>
  <si>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</si>
  <si>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</si>
  <si>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</si>
  <si>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</si>
  <si>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</si>
  <si>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</si>
  <si>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</si>
  <si>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</si>
  <si>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</si>
  <si>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</si>
  <si>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</si>
  <si>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</si>
  <si>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</si>
  <si>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</si>
  <si>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</si>
  <si>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</si>
  <si>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</si>
  <si>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</si>
  <si>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</si>
  <si>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</si>
  <si>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</si>
  <si>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</si>
  <si>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</si>
  <si>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</si>
  <si>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</si>
  <si>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</si>
  <si>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</si>
  <si>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</si>
  <si>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</si>
  <si>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</si>
  <si>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</si>
  <si>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</si>
  <si>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</si>
  <si>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</si>
  <si>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</si>
  <si>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</si>
  <si>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</si>
  <si>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</si>
  <si>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</si>
  <si>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</si>
  <si>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</si>
  <si>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</si>
  <si>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</si>
  <si>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</si>
  <si>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</si>
  <si>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</si>
  <si>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</si>
  <si>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</si>
  <si>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</si>
  <si>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</si>
  <si>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</si>
  <si>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</si>
  <si>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</si>
  <si>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</si>
  <si>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</si>
  <si>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</si>
  <si>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</si>
  <si>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</si>
  <si>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</si>
  <si>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</si>
  <si>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</si>
  <si>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</si>
  <si>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</si>
  <si>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</si>
  <si>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</si>
  <si>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</si>
  <si>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</si>
  <si>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</si>
  <si>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</si>
  <si>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</si>
  <si>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</si>
  <si>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</si>
  <si>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</si>
  <si>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</si>
  <si>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</si>
  <si>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</si>
  <si>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</si>
  <si>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</si>
  <si>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</si>
  <si>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</si>
  <si>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</si>
  <si>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</si>
  <si>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</si>
  <si>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</si>
  <si>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</si>
  <si>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</si>
  <si>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</si>
  <si>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</si>
  <si>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</si>
  <si>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</si>
  <si>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</si>
  <si>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</si>
  <si>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</si>
  <si>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</si>
  <si>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</si>
  <si>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</si>
  <si>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</si>
  <si>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</si>
  <si>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</si>
  <si>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</si>
  <si>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</si>
  <si>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</si>
  <si>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</si>
  <si>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</si>
  <si>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</si>
  <si>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</si>
  <si>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</si>
  <si>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</si>
  <si>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</si>
  <si>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</si>
  <si>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</si>
  <si>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</si>
  <si>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</si>
  <si>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</si>
  <si>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</si>
  <si>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</si>
  <si>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</si>
  <si>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</si>
  <si>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</si>
  <si>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</si>
  <si>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</si>
  <si>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</si>
  <si>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</si>
  <si>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</si>
  <si>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</si>
  <si>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</si>
  <si>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</si>
  <si>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</si>
  <si>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</si>
  <si>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</si>
  <si>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</si>
  <si>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</si>
  <si>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</si>
  <si>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</si>
  <si>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</si>
  <si>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</si>
  <si>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</si>
  <si>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</si>
  <si>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</si>
  <si>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</si>
  <si>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</si>
  <si>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</si>
  <si>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</si>
  <si>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</si>
  <si>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</si>
  <si>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</si>
  <si>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</si>
  <si>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</si>
  <si>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</si>
  <si>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</si>
  <si>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</si>
  <si>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</si>
  <si>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</si>
  <si>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</si>
  <si>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</si>
  <si>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</si>
  <si>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</si>
  <si>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</si>
  <si>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</si>
  <si>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</si>
  <si>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</si>
  <si>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</si>
  <si>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</si>
  <si>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</si>
  <si>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</si>
  <si>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</si>
  <si>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</si>
  <si>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</si>
  <si>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</si>
  <si>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</si>
  <si>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</si>
  <si>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</si>
  <si>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</si>
  <si>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</si>
  <si>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</si>
  <si>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</si>
  <si>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</si>
  <si>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</si>
  <si>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</si>
  <si>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</si>
  <si>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</si>
  <si>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</si>
  <si>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</si>
  <si>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</si>
  <si>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</si>
  <si>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</si>
  <si>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</si>
  <si>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</si>
  <si>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</si>
  <si>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</si>
  <si>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</si>
  <si>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</si>
  <si>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</si>
  <si>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</si>
  <si>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</si>
  <si>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</si>
  <si>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</si>
  <si>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</si>
  <si>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</si>
  <si>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</si>
  <si>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</si>
  <si>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</si>
  <si>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</si>
  <si>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</si>
  <si>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</si>
  <si>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</si>
  <si>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</si>
  <si>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</si>
  <si>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Row Labels</t>
  </si>
  <si>
    <t xml:space="preserve">Target Hit % </t>
  </si>
  <si>
    <t xml:space="preserve">Away From Target % </t>
  </si>
  <si>
    <t>Grand Total</t>
  </si>
  <si>
    <t>Sum of Total Sales</t>
  </si>
  <si>
    <t>(All)</t>
  </si>
  <si>
    <t>Values</t>
  </si>
  <si>
    <t>Day 1</t>
  </si>
  <si>
    <t>Day 2</t>
  </si>
  <si>
    <t>Day 3</t>
  </si>
  <si>
    <t>Day 4</t>
  </si>
  <si>
    <t>Day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</si>
</sst>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rgb="FFFF00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10" fontId="0" fillId="0" borderId="0" xfId="0" pivotButton="1" applyNumberFormat="1"/>
    <xf numFmtId="0" fontId="0" fillId="0" borderId="0" xfId="0" applyNumberFormat="1"/>
    <xf numFmtId="0" fontId="0" fillId="5" borderId="0" xfId="0" applyFill="1"/>
    <xf numFmtId="0" fontId="5" fillId="5" borderId="0" xfId="0" applyFont="1" applyFill="1"/>
    <xf numFmtId="0" fontId="4" fillId="3" borderId="2" xfId="0" applyFont="1" applyFill="1" applyBorder="1" applyAlignment="1">
      <alignment horizontal="center" vertical="center"/>
    </xf>
  </cellXfs>
  <cellStyles count="2">
    <cellStyle name="Normal" xfId="0" builtinId="0"/>
    <cellStyle name="Percent" xfId="1" builtinId="5"/>
  </cellStyles>
  <dxfs count="3">
    <dxf>
      <numFmt numFmtId="14" formatCode="0.00%"/>
    </dxf>
    <dxf>
      <fill>
        <patternFill>
          <bgColor theme="8" tint="0.39994506668294322"/>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2"/>
    </tableStyle>
    <tableStyle name="Slicer Style 2" pivot="0" table="0" count="6" xr9:uid="{04E80D00-F583-476F-85D7-7BBE05CDC313}">
      <tableStyleElement type="wholeTable" dxfId="1"/>
    </tableStyle>
  </tableStyles>
  <extLst>
    <ext xmlns:x14="http://schemas.microsoft.com/office/spreadsheetml/2009/9/main" uri="{46F421CA-312F-682f-3DD2-61675219B42D}">
      <x14:dxfs count="9">
        <dxf>
          <fill>
            <patternFill>
              <bgColor theme="7" tint="0.59996337778862885"/>
            </patternFill>
          </fill>
        </dxf>
        <dxf>
          <fill>
            <patternFill>
              <bgColor rgb="FFFFFF00"/>
            </patternFill>
          </fill>
        </dxf>
        <dxf>
          <fill>
            <patternFill>
              <bgColor theme="9"/>
            </patternFill>
          </fill>
        </dxf>
        <dxf>
          <fill>
            <patternFill>
              <bgColor rgb="FFFFFF00"/>
            </patternFill>
          </fill>
        </dxf>
        <dxf>
          <fill>
            <patternFill>
              <bgColor theme="9" tint="0.3999450666829432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licer Style 2">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[sales_dashboard_excel.xlsm]Dashboard!PivotTable1</c:name>
    <c:fmtId val="0"/>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a:t>Top</a:t>
            </a:r>
            <a:r>
              <a:rPr lang="en-US" sz="1100" b="1" baseline="0"/>
              <a:t> 5 Excecutives by Sales</a:t>
            </a:r>
          </a:p>
          <a:p>
            <a:pPr>
              <a:defRPr sz="1100" b="1"/>
            </a:pPr>
            <a:endParaRPr lang="en-US" sz="1100" b="1"/>
          </a:p>
        </c:rich>
      </c:tx>
      <c:layout>
        <c:manualLayout>
          <c:xMode val="edge"/>
          <c:yMode val="edge"/>
          <c:x val="0.28364266159826118"/>
          <c:y val="1.4687089816758316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231376048357226"/>
          <c:y val="0.11510052561278124"/>
          <c:w val="0.61258831847169493"/>
          <c:h val="0.87260838659935069"/>
        </c:manualLayout>
      </c:layout>
      <c:barChart>
        <c:barDir val="bar"/>
        <c:grouping val="clustered"/>
        <c:varyColors val="0"/>
        <c:ser>
          <c:idx val="0"/>
          <c:order val="0"/>
          <c:tx>
            <c:strRef>
              <c:f>Dashboard!$O$2</c:f>
              <c:strCache>
                <c:ptCount val="1"/>
                <c:pt idx="0">
                  <c:v>Total</c:v>
                </c:pt>
              </c:strCache>
            </c:strRef>
          </c:tx>
          <c:spPr>
            <a:solidFill>
              <a:schemeClr val="accent6"/>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Dashboard!$N$3:$N$7</c:f>
              <c:strCache>
                <c:ptCount val="5"/>
                <c:pt idx="0">
                  <c:v>Shivji Prasad</c:v>
                </c:pt>
                <c:pt idx="1">
                  <c:v>Kamini Kumar</c:v>
                </c:pt>
                <c:pt idx="2">
                  <c:v>Rekha Agarwal</c:v>
                </c:pt>
                <c:pt idx="3">
                  <c:v>Saroj Parita</c:v>
                </c:pt>
                <c:pt idx="4">
                  <c:v>Janardan Mishra</c:v>
                </c:pt>
              </c:strCache>
            </c:strRef>
          </c:cat>
          <c:val>
            <c:numRef>
              <c:f>Dashboard!$O$3:$O$7</c:f>
              <c:numCache>
                <c:formatCode>General</c:formatCode>
                <c:ptCount val="5"/>
                <c:pt idx="0">
                  <c:v>301</c:v>
                </c:pt>
                <c:pt idx="1">
                  <c:v>322</c:v>
                </c:pt>
                <c:pt idx="2">
                  <c:v>350</c:v>
                </c:pt>
                <c:pt idx="3">
                  <c:v>353</c:v>
                </c:pt>
                <c:pt idx="4">
                  <c:v>355</c:v>
                </c:pt>
              </c:numCache>
            </c:numRef>
          </c:val>
          <c:extLst>
            <c:ext xmlns:c16="http://schemas.microsoft.com/office/drawing/2014/chart" uri="{C3380CC4-5D6E-409C-BE32-E72D297353CC}">
              <c16:uniqueId val="{00000000-FC6D-48F0-942D-DEBBA3878CFE}"/>
            </c:ext>
          </c:extLst>
        </c:ser>
        <c:dLbls>
          <c:showLegendKey val="0"/>
          <c:showVal val="0"/>
          <c:showCatName val="0"/>
          <c:showSerName val="0"/>
          <c:showPercent val="0"/>
          <c:showBubbleSize val="0"/>
        </c:dLbls>
        <c:gapWidth val="219"/>
        <c:axId val="1607920319"/>
        <c:axId val="1607926079"/>
      </c:barChart>
      <c:catAx>
        <c:axId val="16079203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926079"/>
        <c:crosses val="autoZero"/>
        <c:auto val="1"/>
        <c:lblAlgn val="ctr"/>
        <c:lblOffset val="100"/>
        <c:noMultiLvlLbl val="0"/>
      </c:catAx>
      <c:valAx>
        <c:axId val="1607926079"/>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6079203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alpha val="96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[sales_dashboard_excel.xlsm]Dashboard!PivotTable4</c:name>
    <c:fmtId val="0"/>
  </c:pivotSource>
  <c:chart>
    <c:title>
      <c:tx>
        <c:rich>
          <a:bodyPr rot="0" spcFirstLastPara="1" vertOverflow="ellipsis" vert="horz" wrap="square" anchor="ctr" anchorCtr="1"/>
          <a:lstStyle/>
          <a:p>
            <a:pPr>
              <a:defRPr sz="1100" b="1" i="0" u="none" strike="noStrike" kern="1200" baseline="0">
                <a:solidFill>
                  <a:schemeClr val="dk1">
                    <a:lumMod val="65000"/>
                    <a:lumOff val="35000"/>
                  </a:schemeClr>
                </a:solidFill>
                <a:effectLst/>
                <a:latin typeface="+mn-lt"/>
                <a:ea typeface="+mn-ea"/>
                <a:cs typeface="+mn-cs"/>
              </a:defRPr>
            </a:pPr>
            <a:r>
              <a:rPr lang="en-US" sz="1100" b="1"/>
              <a:t>Top 5 Executives</a:t>
            </a:r>
            <a:r>
              <a:rPr lang="en-US" sz="1100" b="1" baseline="0"/>
              <a:t> by Target achieved </a:t>
            </a:r>
            <a:r>
              <a:rPr lang="en-IN" sz="1100" b="1" i="0" u="none" strike="noStrike" baseline="0">
                <a:effectLst/>
              </a:rPr>
              <a:t>(%)</a:t>
            </a:r>
            <a:endParaRPr lang="en-US" sz="1100" b="1" baseline="0"/>
          </a:p>
        </c:rich>
      </c:tx>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Dashboard!$R$2</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Dashboard!$Q$3:$Q$7</c:f>
              <c:strCache>
                <c:ptCount val="5"/>
                <c:pt idx="0">
                  <c:v>Janardan Mishra</c:v>
                </c:pt>
                <c:pt idx="1">
                  <c:v>Saroj Parita</c:v>
                </c:pt>
                <c:pt idx="2">
                  <c:v>Rekha Agarwal</c:v>
                </c:pt>
                <c:pt idx="3">
                  <c:v>Kamini Kumar</c:v>
                </c:pt>
                <c:pt idx="4">
                  <c:v>Shivji Prasad</c:v>
                </c:pt>
              </c:strCache>
            </c:strRef>
          </c:cat>
          <c:val>
            <c:numRef>
              <c:f>Dashboard!$R$3:$R$7</c:f>
              <c:numCache>
                <c:formatCode>0.00%</c:formatCode>
                <c:ptCount val="5"/>
                <c:pt idx="0">
                  <c:v>0.71</c:v>
                </c:pt>
                <c:pt idx="1">
                  <c:v>0.70599999999999996</c:v>
                </c:pt>
                <c:pt idx="2">
                  <c:v>0.7</c:v>
                </c:pt>
                <c:pt idx="3">
                  <c:v>0.64400000000000002</c:v>
                </c:pt>
                <c:pt idx="4">
                  <c:v>0.60199999999999998</c:v>
                </c:pt>
              </c:numCache>
            </c:numRef>
          </c:val>
          <c:extLst>
            <c:ext xmlns:c16="http://schemas.microsoft.com/office/drawing/2014/chart" uri="{C3380CC4-5D6E-409C-BE32-E72D297353CC}">
              <c16:uniqueId val="{00000000-D5A6-4B2F-BA9D-97249EC97AD1}"/>
            </c:ext>
          </c:extLst>
        </c:ser>
        <c:dLbls>
          <c:dLblPos val="inEnd"/>
          <c:showLegendKey val="0"/>
          <c:showVal val="1"/>
          <c:showCatName val="0"/>
          <c:showSerName val="0"/>
          <c:showPercent val="0"/>
          <c:showBubbleSize val="0"/>
        </c:dLbls>
        <c:gapWidth val="41"/>
        <c:axId val="1607941439"/>
        <c:axId val="1607941919"/>
      </c:barChart>
      <c:catAx>
        <c:axId val="16079414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607941919"/>
        <c:crosses val="autoZero"/>
        <c:auto val="1"/>
        <c:lblAlgn val="ctr"/>
        <c:lblOffset val="100"/>
        <c:noMultiLvlLbl val="0"/>
      </c:catAx>
      <c:valAx>
        <c:axId val="1607941919"/>
        <c:scaling>
          <c:orientation val="minMax"/>
        </c:scaling>
        <c:delete val="1"/>
        <c:axPos val="l"/>
        <c:numFmt formatCode="0.00%" sourceLinked="1"/>
        <c:majorTickMark val="none"/>
        <c:minorTickMark val="none"/>
        <c:tickLblPos val="nextTo"/>
        <c:crossAx val="16079414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[sales_dashboard_excel.xlsm]Dashboard!PivotTable5</c:name>
    <c:fmtId val="0"/>
  </c:pivotSource>
  <c:chart>
    <c:title>
      <c:tx>
        <c:rich>
          <a:bodyPr rot="0" spcFirstLastPara="1" vertOverflow="ellipsis" vert="horz" wrap="square" anchor="ctr" anchorCtr="1"/>
          <a:lstStyle/>
          <a:p>
            <a:pPr>
              <a:defRPr sz="1100" b="1" i="0" u="none" strike="noStrike" kern="1200" baseline="0">
                <a:solidFill>
                  <a:schemeClr val="dk1">
                    <a:lumMod val="65000"/>
                    <a:lumOff val="35000"/>
                  </a:schemeClr>
                </a:solidFill>
                <a:effectLst/>
                <a:latin typeface="+mn-lt"/>
                <a:ea typeface="+mn-ea"/>
                <a:cs typeface="+mn-cs"/>
              </a:defRPr>
            </a:pPr>
            <a:r>
              <a:rPr lang="en-IN" sz="1100" b="1" i="0" u="none" strike="noStrike" baseline="0">
                <a:effectLst/>
              </a:rPr>
              <a:t>Top 5 Executives Below Target (%)</a:t>
            </a:r>
          </a:p>
        </c:rich>
      </c:tx>
      <c:layout>
        <c:manualLayout>
          <c:xMode val="edge"/>
          <c:yMode val="edge"/>
          <c:x val="0.14871152655303516"/>
          <c:y val="7.2601049799746872E-3"/>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2"/>
              </a:gs>
              <a:gs pos="100000">
                <a:schemeClr val="accent2">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2"/>
                </a:gs>
                <a:gs pos="100000">
                  <a:schemeClr val="accent2">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381347821523482E-2"/>
          <c:y val="5.6706098986523595E-2"/>
          <c:w val="0.91323730435695305"/>
          <c:h val="0.74378309158079636"/>
        </c:manualLayout>
      </c:layout>
      <c:barChart>
        <c:barDir val="col"/>
        <c:grouping val="clustered"/>
        <c:varyColors val="0"/>
        <c:ser>
          <c:idx val="0"/>
          <c:order val="0"/>
          <c:tx>
            <c:strRef>
              <c:f>Dashboard!$R$9</c:f>
              <c:strCache>
                <c:ptCount val="1"/>
                <c:pt idx="0">
                  <c:v>Total</c:v>
                </c:pt>
              </c:strCache>
            </c:strRef>
          </c:tx>
          <c:spPr>
            <a:gradFill>
              <a:gsLst>
                <a:gs pos="0">
                  <a:schemeClr val="accent2"/>
                </a:gs>
                <a:gs pos="100000">
                  <a:schemeClr val="accent2">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Dashboard!$Q$10:$Q$14</c:f>
              <c:strCache>
                <c:ptCount val="5"/>
                <c:pt idx="0">
                  <c:v>Raji Abraham</c:v>
                </c:pt>
                <c:pt idx="1">
                  <c:v>Lilly Lucy</c:v>
                </c:pt>
                <c:pt idx="2">
                  <c:v>Mehnaz Khan</c:v>
                </c:pt>
                <c:pt idx="3">
                  <c:v>Anjali Deoram</c:v>
                </c:pt>
                <c:pt idx="4">
                  <c:v>Partha Sarathi</c:v>
                </c:pt>
              </c:strCache>
            </c:strRef>
          </c:cat>
          <c:val>
            <c:numRef>
              <c:f>Dashboard!$R$10:$R$14</c:f>
              <c:numCache>
                <c:formatCode>0.00%</c:formatCode>
                <c:ptCount val="5"/>
                <c:pt idx="0">
                  <c:v>0.622</c:v>
                </c:pt>
                <c:pt idx="1">
                  <c:v>0.59000000000000008</c:v>
                </c:pt>
                <c:pt idx="2">
                  <c:v>0.57000000000000006</c:v>
                </c:pt>
                <c:pt idx="3">
                  <c:v>0.56600000000000006</c:v>
                </c:pt>
                <c:pt idx="4">
                  <c:v>0.54200000000000004</c:v>
                </c:pt>
              </c:numCache>
            </c:numRef>
          </c:val>
          <c:extLst>
            <c:ext xmlns:c16="http://schemas.microsoft.com/office/drawing/2014/chart" uri="{C3380CC4-5D6E-409C-BE32-E72D297353CC}">
              <c16:uniqueId val="{00000000-D945-4CA1-BD8B-626A9B32AF52}"/>
            </c:ext>
          </c:extLst>
        </c:ser>
        <c:dLbls>
          <c:dLblPos val="inEnd"/>
          <c:showLegendKey val="0"/>
          <c:showVal val="1"/>
          <c:showCatName val="0"/>
          <c:showSerName val="0"/>
          <c:showPercent val="0"/>
          <c:showBubbleSize val="0"/>
        </c:dLbls>
        <c:gapWidth val="41"/>
        <c:axId val="1792408639"/>
        <c:axId val="1792414399"/>
      </c:barChart>
      <c:catAx>
        <c:axId val="17924086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1792414399"/>
        <c:crosses val="autoZero"/>
        <c:auto val="1"/>
        <c:lblAlgn val="ctr"/>
        <c:lblOffset val="100"/>
        <c:noMultiLvlLbl val="0"/>
      </c:catAx>
      <c:valAx>
        <c:axId val="1792414399"/>
        <c:scaling>
          <c:orientation val="minMax"/>
        </c:scaling>
        <c:delete val="1"/>
        <c:axPos val="l"/>
        <c:numFmt formatCode="0.00%" sourceLinked="1"/>
        <c:majorTickMark val="none"/>
        <c:minorTickMark val="none"/>
        <c:tickLblPos val="nextTo"/>
        <c:crossAx val="1792408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[sales_dashboard_excel.xlsm]Dashboard!PivotTable3</c:name>
    <c:fmtId val="0"/>
  </c:pivotSource>
  <c:chart>
    <c:title>
      <c:tx>
        <c:rich>
          <a:bodyPr rot="0" spcFirstLastPara="1" vertOverflow="ellipsis" vert="horz" wrap="square" anchor="ctr" anchorCtr="1"/>
          <a:lstStyle/>
          <a:p>
            <a:pPr>
              <a:defRPr sz="1100" b="1" i="0" u="none" strike="noStrike" kern="1200" spc="0" normalizeH="0" baseline="0">
                <a:solidFill>
                  <a:schemeClr val="dk1">
                    <a:lumMod val="50000"/>
                    <a:lumOff val="50000"/>
                  </a:schemeClr>
                </a:solidFill>
                <a:latin typeface="+mj-lt"/>
                <a:ea typeface="+mj-ea"/>
                <a:cs typeface="+mj-cs"/>
              </a:defRPr>
            </a:pPr>
            <a:r>
              <a:rPr lang="en-US" sz="1100" b="1"/>
              <a:t>Sales by Region</a:t>
            </a:r>
          </a:p>
        </c:rich>
      </c:tx>
      <c:layout>
        <c:manualLayout>
          <c:xMode val="edge"/>
          <c:yMode val="edge"/>
          <c:x val="0.32990684136390819"/>
          <c:y val="0"/>
        </c:manualLayout>
      </c:layout>
      <c:overlay val="0"/>
      <c:spPr>
        <a:noFill/>
        <a:ln>
          <a:noFill/>
        </a:ln>
        <a:effectLst/>
      </c:spPr>
      <c:txPr>
        <a:bodyPr rot="0" spcFirstLastPara="1" vertOverflow="ellipsis" vert="horz" wrap="square" anchor="ctr" anchorCtr="1"/>
        <a:lstStyle/>
        <a:p>
          <a:pPr>
            <a:defRPr sz="1100" b="1" i="0" u="none" strike="noStrike" kern="1200" spc="0" normalizeH="0" baseline="0">
              <a:solidFill>
                <a:schemeClr val="dk1">
                  <a:lumMod val="50000"/>
                  <a:lumOff val="50000"/>
                </a:schemeClr>
              </a:solidFill>
              <a:latin typeface="+mj-lt"/>
              <a:ea typeface="+mj-ea"/>
              <a:cs typeface="+mj-cs"/>
            </a:defRPr>
          </a:pPr>
          <a:endParaRPr lang="en-US"/>
        </a:p>
      </c:txPr>
    </c:title>
    <c:autoTitleDeleted val="0"/>
    <c:pivotFmts>
      <c:pivotFmt>
        <c:idx val="0"/>
        <c:spPr>
          <a:gradFill>
            <a:gsLst>
              <a:gs pos="100000">
                <a:schemeClr val="accent1">
                  <a:lumMod val="60000"/>
                  <a:lumOff val="40000"/>
                </a:schemeClr>
              </a:gs>
              <a:gs pos="0">
                <a:schemeClr val="accent1"/>
              </a:gs>
            </a:gsLst>
            <a:lin ang="5400000" scaled="0"/>
          </a:gradFill>
          <a:ln w="19050">
            <a:solidFill>
              <a:schemeClr val="lt1"/>
            </a:solidFill>
          </a:ln>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Dashboard!$U$2</c:f>
              <c:strCache>
                <c:ptCount val="1"/>
                <c:pt idx="0">
                  <c:v>Total</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dPt>
          <c:dPt>
            <c:idx val="3"/>
            <c:bubble3D val="0"/>
            <c:spPr>
              <a:gradFill>
                <a:gsLst>
                  <a:gs pos="100000">
                    <a:schemeClr val="accent4">
                      <a:lumMod val="60000"/>
                      <a:lumOff val="40000"/>
                    </a:schemeClr>
                  </a:gs>
                  <a:gs pos="0">
                    <a:schemeClr val="accent4"/>
                  </a:gs>
                </a:gsLst>
                <a:lin ang="5400000" scaled="0"/>
              </a:gradFill>
              <a:ln w="19050">
                <a:solidFill>
                  <a:schemeClr val="lt1"/>
                </a:solidFill>
              </a:ln>
              <a:effectLst/>
            </c:spPr>
          </c:dPt>
          <c:dPt>
            <c:idx val="4"/>
            <c:bubble3D val="0"/>
            <c:spPr>
              <a:gradFill>
                <a:gsLst>
                  <a:gs pos="100000">
                    <a:schemeClr val="accent5">
                      <a:lumMod val="60000"/>
                      <a:lumOff val="40000"/>
                    </a:schemeClr>
                  </a:gs>
                  <a:gs pos="0">
                    <a:schemeClr val="accent5"/>
                  </a:gs>
                </a:gsLst>
                <a:lin ang="5400000" scaled="0"/>
              </a:gradFill>
              <a:ln w="19050">
                <a:solidFill>
                  <a:schemeClr val="lt1"/>
                </a:solidFill>
              </a:ln>
              <a:effectLst/>
            </c:spPr>
          </c:dPt>
          <c:dPt>
            <c:idx val="5"/>
            <c:bubble3D val="0"/>
            <c:spPr>
              <a:gradFill>
                <a:gsLst>
                  <a:gs pos="100000">
                    <a:schemeClr val="accent6">
                      <a:lumMod val="60000"/>
                      <a:lumOff val="40000"/>
                    </a:schemeClr>
                  </a:gs>
                  <a:gs pos="0">
                    <a:schemeClr val="accent6"/>
                  </a:gs>
                </a:gsLst>
                <a:lin ang="5400000" scaled="0"/>
              </a:gradFill>
              <a:ln w="19050">
                <a:solidFill>
                  <a:schemeClr val="lt1"/>
                </a:solidFill>
              </a:ln>
              <a:effectLst/>
            </c:spPr>
          </c:dPt>
          <c:dPt>
            <c:idx val="6"/>
            <c:bubble3D val="0"/>
            <c:spPr>
              <a:gradFill>
                <a:gsLst>
                  <a:gs pos="100000">
                    <a:schemeClr val="accent1">
                      <a:lumMod val="60000"/>
                      <a:lumMod val="60000"/>
                      <a:lumOff val="40000"/>
                    </a:schemeClr>
                  </a:gs>
                  <a:gs pos="0">
                    <a:schemeClr val="accent1">
                      <a:lumMod val="60000"/>
                    </a:schemeClr>
                  </a:gs>
                </a:gsLst>
                <a:lin ang="5400000" scaled="0"/>
              </a:gradFill>
              <a:ln w="19050">
                <a:solidFill>
                  <a:schemeClr val="lt1"/>
                </a:solidFill>
              </a:ln>
              <a:effectLst/>
            </c:spPr>
          </c:dPt>
          <c:dPt>
            <c:idx val="7"/>
            <c:bubble3D val="0"/>
            <c:spPr>
              <a:gradFill>
                <a:gsLst>
                  <a:gs pos="100000">
                    <a:schemeClr val="accent2">
                      <a:lumMod val="60000"/>
                      <a:lumMod val="60000"/>
                      <a:lumOff val="40000"/>
                    </a:schemeClr>
                  </a:gs>
                  <a:gs pos="0">
                    <a:schemeClr val="accent2">
                      <a:lumMod val="60000"/>
                    </a:schemeClr>
                  </a:gs>
                </a:gsLst>
                <a:lin ang="5400000" scaled="0"/>
              </a:gra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Dashboard!$T$3:$T$11</c:f>
              <c:strCache>
                <c:ptCount val="8"/>
                <c:pt idx="0">
                  <c:v>Chennai</c:v>
                </c:pt>
                <c:pt idx="1">
                  <c:v>Delhi</c:v>
                </c:pt>
                <c:pt idx="2">
                  <c:v>Mumbai</c:v>
                </c:pt>
                <c:pt idx="3">
                  <c:v>Nagpur</c:v>
                </c:pt>
                <c:pt idx="4">
                  <c:v>Patna</c:v>
                </c:pt>
                <c:pt idx="5">
                  <c:v>Pune</c:v>
                </c:pt>
                <c:pt idx="6">
                  <c:v>Ranchi</c:v>
                </c:pt>
                <c:pt idx="7">
                  <c:v>Surat</c:v>
                </c:pt>
              </c:strCache>
            </c:strRef>
          </c:cat>
          <c:val>
            <c:numRef>
              <c:f>Dashboard!$U$3:$U$11</c:f>
              <c:numCache>
                <c:formatCode>General</c:formatCode>
                <c:ptCount val="8"/>
                <c:pt idx="0">
                  <c:v>5063</c:v>
                </c:pt>
                <c:pt idx="1">
                  <c:v>4965</c:v>
                </c:pt>
                <c:pt idx="2">
                  <c:v>5197</c:v>
                </c:pt>
                <c:pt idx="3">
                  <c:v>5248</c:v>
                </c:pt>
                <c:pt idx="4">
                  <c:v>4597</c:v>
                </c:pt>
                <c:pt idx="5">
                  <c:v>5067</c:v>
                </c:pt>
                <c:pt idx="6">
                  <c:v>4296</c:v>
                </c:pt>
                <c:pt idx="7">
                  <c:v>4512</c:v>
                </c:pt>
              </c:numCache>
            </c:numRef>
          </c:val>
          <c:extLst>
            <c:ext xmlns:c16="http://schemas.microsoft.com/office/drawing/2014/chart" uri="{C3380CC4-5D6E-409C-BE32-E72D297353CC}">
              <c16:uniqueId val="{00000000-F4C7-4426-BB0A-ACFD6DA52D14}"/>
            </c:ext>
          </c:extLst>
        </c:ser>
        <c:dLbls>
          <c:dLblPos val="ctr"/>
          <c:showLegendKey val="0"/>
          <c:showVal val="0"/>
          <c:showCatName val="0"/>
          <c:showSerName val="0"/>
          <c:showPercent val="1"/>
          <c:showBubbleSize val="0"/>
          <c:showLeaderLines val="0"/>
        </c:dLbls>
        <c:firstSliceAng val="0"/>
      </c:pieChart>
      <c:spPr>
        <a:noFill/>
        <a:ln>
          <a:noFill/>
        </a:ln>
        <a:effectLst/>
      </c:spPr>
    </c:plotArea>
    <c:legend>
      <c:legendPos val="r"/>
      <c:overlay val="0"/>
      <c:spPr>
        <a:solidFill>
          <a:schemeClr val="lt1">
            <a:alpha val="50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fgClr>
      <a:bgClr>
        <a:schemeClr val="dk1">
          <a:lumMod val="10000"/>
          <a:lumOff val="90000"/>
        </a:schemeClr>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[sales_dashboard_excel.xlsm]Dashboard!PivotTable6</c:name>
    <c:fmtId val="0"/>
  </c:pivotSource>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en-US" sz="1100" b="1" baseline="0"/>
              <a:t>Daily Sales Trend</a:t>
            </a:r>
          </a:p>
        </c:rich>
      </c:tx>
      <c:layout>
        <c:manualLayout>
          <c:xMode val="edge"/>
          <c:yMode val="edge"/>
          <c:x val="0.37135861660444425"/>
          <c:y val="7.4578484753104113E-3"/>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Dashboard!$X$9</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Dashboard!$W$10:$W$14</c:f>
              <c:strCache>
                <c:ptCount val="5"/>
                <c:pt idx="0">
                  <c:v>Day 1</c:v>
                </c:pt>
                <c:pt idx="1">
                  <c:v>Day 2</c:v>
                </c:pt>
                <c:pt idx="2">
                  <c:v>Day 3</c:v>
                </c:pt>
                <c:pt idx="3">
                  <c:v>Day 4</c:v>
                </c:pt>
                <c:pt idx="4">
                  <c:v>Day 5</c:v>
                </c:pt>
              </c:strCache>
            </c:strRef>
          </c:cat>
          <c:val>
            <c:numRef>
              <c:f>Dashboard!$X$10:$X$14</c:f>
              <c:numCache>
                <c:formatCode>General</c:formatCode>
                <c:ptCount val="5"/>
                <c:pt idx="0">
                  <c:v>7922</c:v>
                </c:pt>
                <c:pt idx="1">
                  <c:v>7965</c:v>
                </c:pt>
                <c:pt idx="2">
                  <c:v>7383</c:v>
                </c:pt>
                <c:pt idx="3">
                  <c:v>8323</c:v>
                </c:pt>
                <c:pt idx="4">
                  <c:v>7352</c:v>
                </c:pt>
              </c:numCache>
            </c:numRef>
          </c:val>
          <c:smooth val="0"/>
          <c:extLst>
            <c:ext xmlns:c16="http://schemas.microsoft.com/office/drawing/2014/chart" uri="{C3380CC4-5D6E-409C-BE32-E72D297353CC}">
              <c16:uniqueId val="{00000000-1A37-44CF-900D-EAB141C47CF1}"/>
            </c:ext>
          </c:extLst>
        </c:ser>
        <c:dLbls>
          <c:showLegendKey val="0"/>
          <c:showVal val="0"/>
          <c:showCatName val="0"/>
          <c:showSerName val="0"/>
          <c:showPercent val="0"/>
          <c:showBubbleSize val="0"/>
        </c:dLbls>
        <c:marker val="1"/>
        <c:smooth val="0"/>
        <c:axId val="271972800"/>
        <c:axId val="271957920"/>
      </c:lineChart>
      <c:catAx>
        <c:axId val="27197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957920"/>
        <c:crosses val="autoZero"/>
        <c:auto val="1"/>
        <c:lblAlgn val="ctr"/>
        <c:lblOffset val="100"/>
        <c:noMultiLvlLbl val="0"/>
      </c:catAx>
      <c:valAx>
        <c:axId val="27195792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71972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6626</xdr:colOff>
      <xdr:row>11</xdr:row>
      <xdr:rowOff>112643</xdr:rowOff>
    </xdr:from>
    <xdr:to>
      <xdr:col>4</xdr:col>
      <xdr:colOff>106017</xdr:colOff>
      <xdr:row>20</xdr:row>
      <xdr:rowOff>172279</xdr:rowOff>
    </xdr:to>
    <xdr:graphicFrame macro="">
      <xdr:nvGraphicFramePr>
        <xdr:cNvPr id="2" name="Chart 1">
          <a:extLst>
            <a:ext uri="{FF2B5EF4-FFF2-40B4-BE49-F238E27FC236}">
              <a16:creationId xmlns:a16="http://schemas.microsoft.com/office/drawing/2014/main" id="{B6189B29-607C-1019-3B82-6FC05C9241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198782</xdr:colOff>
      <xdr:row>11</xdr:row>
      <xdr:rowOff>112642</xdr:rowOff>
    </xdr:from>
    <xdr:to>
      <xdr:col>6</xdr:col>
      <xdr:colOff>1146313</xdr:colOff>
      <xdr:row>20</xdr:row>
      <xdr:rowOff>185529</xdr:rowOff>
    </xdr:to>
    <xdr:graphicFrame macro="">
      <xdr:nvGraphicFramePr>
        <xdr:cNvPr id="3" name="Chart 2">
          <a:extLst>
            <a:ext uri="{FF2B5EF4-FFF2-40B4-BE49-F238E27FC236}">
              <a16:creationId xmlns:a16="http://schemas.microsoft.com/office/drawing/2014/main" id="{BB36BE6D-9A98-EAE5-E73F-281A3BAF3D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1205948</xdr:colOff>
      <xdr:row>11</xdr:row>
      <xdr:rowOff>119269</xdr:rowOff>
    </xdr:from>
    <xdr:to>
      <xdr:col>9</xdr:col>
      <xdr:colOff>1152940</xdr:colOff>
      <xdr:row>21</xdr:row>
      <xdr:rowOff>6626</xdr:rowOff>
    </xdr:to>
    <xdr:graphicFrame macro="">
      <xdr:nvGraphicFramePr>
        <xdr:cNvPr id="4" name="Chart 3">
          <a:extLst>
            <a:ext uri="{FF2B5EF4-FFF2-40B4-BE49-F238E27FC236}">
              <a16:creationId xmlns:a16="http://schemas.microsoft.com/office/drawing/2014/main" id="{5F13C988-81D5-35A5-569F-2FF903B524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26504</xdr:colOff>
      <xdr:row>9</xdr:row>
      <xdr:rowOff>72890</xdr:rowOff>
    </xdr:from>
    <xdr:to>
      <xdr:col>9</xdr:col>
      <xdr:colOff>1172817</xdr:colOff>
      <xdr:row>11</xdr:row>
      <xdr:rowOff>86142</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C2CA26F1-0B91-5BF0-F519-67880E8818E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26504" y="2193238"/>
              <a:ext cx="8680174" cy="3843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463828</xdr:colOff>
      <xdr:row>1</xdr:row>
      <xdr:rowOff>72886</xdr:rowOff>
    </xdr:from>
    <xdr:to>
      <xdr:col>5</xdr:col>
      <xdr:colOff>589722</xdr:colOff>
      <xdr:row>9</xdr:row>
      <xdr:rowOff>33130</xdr:rowOff>
    </xdr:to>
    <xdr:graphicFrame macro="">
      <xdr:nvGraphicFramePr>
        <xdr:cNvPr id="6" name="Chart 5">
          <a:extLst>
            <a:ext uri="{FF2B5EF4-FFF2-40B4-BE49-F238E27FC236}">
              <a16:creationId xmlns:a16="http://schemas.microsoft.com/office/drawing/2014/main" id="{79018773-4419-99F7-5928-E197CC155B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655982</xdr:colOff>
      <xdr:row>1</xdr:row>
      <xdr:rowOff>72886</xdr:rowOff>
    </xdr:from>
    <xdr:to>
      <xdr:col>9</xdr:col>
      <xdr:colOff>1159565</xdr:colOff>
      <xdr:row>9</xdr:row>
      <xdr:rowOff>13251</xdr:rowOff>
    </xdr:to>
    <xdr:graphicFrame macro="">
      <xdr:nvGraphicFramePr>
        <xdr:cNvPr id="11" name="Chart 10">
          <a:extLst>
            <a:ext uri="{FF2B5EF4-FFF2-40B4-BE49-F238E27FC236}">
              <a16:creationId xmlns:a16="http://schemas.microsoft.com/office/drawing/2014/main" id="{90926A0D-AA2D-D3B1-FDEA-26385C77B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6626</xdr:colOff>
      <xdr:row>1</xdr:row>
      <xdr:rowOff>13252</xdr:rowOff>
    </xdr:from>
    <xdr:to>
      <xdr:col>1</xdr:col>
      <xdr:colOff>351183</xdr:colOff>
      <xdr:row>1</xdr:row>
      <xdr:rowOff>351182</xdr:rowOff>
    </xdr:to>
    <xdr:sp macro="" textlink="">
      <xdr:nvSpPr>
        <xdr:cNvPr id="13" name="TextBox 12">
          <a:extLst>
            <a:ext uri="{FF2B5EF4-FFF2-40B4-BE49-F238E27FC236}">
              <a16:creationId xmlns:a16="http://schemas.microsoft.com/office/drawing/2014/main" id="{30DD7FAF-A1CC-0E31-4D98-6598644738B7}"/>
            </a:ext>
          </a:extLst>
        </xdr:cNvPr>
        <xdr:cNvSpPr txBox="1"/>
      </xdr:nvSpPr>
      <xdr:spPr>
        <a:xfrm>
          <a:off x="6626" y="371061"/>
          <a:ext cx="1444487" cy="3379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Total Sales:</a:t>
          </a:r>
          <a:endParaRPr lang="en-IN" sz="1400" b="1">
            <a:ln>
              <a:noFill/>
            </a:ln>
          </a:endParaRPr>
        </a:p>
        <a:p>
          <a:endParaRPr lang="en-IN" sz="1400" b="1"/>
        </a:p>
      </xdr:txBody>
    </xdr:sp>
    <xdr:clientData/>
  </xdr:twoCellAnchor>
  <xdr:twoCellAnchor>
    <xdr:from>
      <xdr:col>0</xdr:col>
      <xdr:colOff>19877</xdr:colOff>
      <xdr:row>1</xdr:row>
      <xdr:rowOff>318050</xdr:rowOff>
    </xdr:from>
    <xdr:to>
      <xdr:col>1</xdr:col>
      <xdr:colOff>238538</xdr:colOff>
      <xdr:row>2</xdr:row>
      <xdr:rowOff>145773</xdr:rowOff>
    </xdr:to>
    <xdr:sp macro="" textlink="'RAW DATA'!I145">
      <xdr:nvSpPr>
        <xdr:cNvPr id="12" name="TextBox 11">
          <a:extLst>
            <a:ext uri="{FF2B5EF4-FFF2-40B4-BE49-F238E27FC236}">
              <a16:creationId xmlns:a16="http://schemas.microsoft.com/office/drawing/2014/main" id="{F9CC2F32-098B-4925-9F03-07E74011BBC7}"/>
            </a:ext>
          </a:extLst>
        </xdr:cNvPr>
        <xdr:cNvSpPr txBox="1"/>
      </xdr:nvSpPr>
      <xdr:spPr>
        <a:xfrm>
          <a:off x="19877" y="675859"/>
          <a:ext cx="1318591" cy="2915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rgbClr val="000000"/>
              </a:solidFill>
              <a:latin typeface="+mn-lt"/>
              <a:ea typeface="Calibri"/>
              <a:cs typeface="Calibri"/>
            </a:rPr>
            <a:t>₹ </a:t>
          </a:r>
          <a:fld id="{F6D79039-0677-4425-B306-D8CBBCF0EB29}" type="TxLink">
            <a:rPr lang="en-US" sz="1200" b="1" i="0" u="none" strike="noStrike">
              <a:solidFill>
                <a:srgbClr val="000000"/>
              </a:solidFill>
              <a:latin typeface="Calibri"/>
              <a:ea typeface="Calibri"/>
              <a:cs typeface="Calibri"/>
            </a:rPr>
            <a:t>38945</a:t>
          </a:fld>
          <a:endParaRPr lang="en-IN" sz="1200" b="1"/>
        </a:p>
      </xdr:txBody>
    </xdr:sp>
    <xdr:clientData/>
  </xdr:twoCellAnchor>
  <xdr:twoCellAnchor>
    <xdr:from>
      <xdr:col>0</xdr:col>
      <xdr:colOff>13253</xdr:colOff>
      <xdr:row>4</xdr:row>
      <xdr:rowOff>53010</xdr:rowOff>
    </xdr:from>
    <xdr:to>
      <xdr:col>0</xdr:col>
      <xdr:colOff>795132</xdr:colOff>
      <xdr:row>5</xdr:row>
      <xdr:rowOff>159029</xdr:rowOff>
    </xdr:to>
    <xdr:sp macro="" textlink="'RAW DATA'!B145">
      <xdr:nvSpPr>
        <xdr:cNvPr id="14" name="TextBox 13">
          <a:extLst>
            <a:ext uri="{FF2B5EF4-FFF2-40B4-BE49-F238E27FC236}">
              <a16:creationId xmlns:a16="http://schemas.microsoft.com/office/drawing/2014/main" id="{F58D50D3-47DA-4015-B822-E0CC144751DA}"/>
            </a:ext>
          </a:extLst>
        </xdr:cNvPr>
        <xdr:cNvSpPr txBox="1"/>
      </xdr:nvSpPr>
      <xdr:spPr>
        <a:xfrm>
          <a:off x="13253" y="1245706"/>
          <a:ext cx="781879" cy="2915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65D6C9-A665-40CC-924F-5F9A0DE47657}" type="TxLink">
            <a:rPr lang="en-US" sz="1200" b="1" i="0" u="none" strike="noStrike">
              <a:solidFill>
                <a:srgbClr val="000000"/>
              </a:solidFill>
              <a:latin typeface="Calibri"/>
              <a:ea typeface="Calibri"/>
              <a:cs typeface="Calibri"/>
            </a:rPr>
            <a:t>141</a:t>
          </a:fld>
          <a:endParaRPr lang="en-IN" sz="1200" b="1"/>
        </a:p>
      </xdr:txBody>
    </xdr:sp>
    <xdr:clientData/>
  </xdr:twoCellAnchor>
  <xdr:twoCellAnchor>
    <xdr:from>
      <xdr:col>0</xdr:col>
      <xdr:colOff>0</xdr:colOff>
      <xdr:row>2</xdr:row>
      <xdr:rowOff>139147</xdr:rowOff>
    </xdr:from>
    <xdr:to>
      <xdr:col>1</xdr:col>
      <xdr:colOff>417444</xdr:colOff>
      <xdr:row>4</xdr:row>
      <xdr:rowOff>79511</xdr:rowOff>
    </xdr:to>
    <xdr:sp macro="" textlink="'RAW DATA'!I145">
      <xdr:nvSpPr>
        <xdr:cNvPr id="15" name="TextBox 14">
          <a:extLst>
            <a:ext uri="{FF2B5EF4-FFF2-40B4-BE49-F238E27FC236}">
              <a16:creationId xmlns:a16="http://schemas.microsoft.com/office/drawing/2014/main" id="{DEAE5B3D-467B-4FCE-8EF9-E38FB9164559}"/>
            </a:ext>
          </a:extLst>
        </xdr:cNvPr>
        <xdr:cNvSpPr txBox="1"/>
      </xdr:nvSpPr>
      <xdr:spPr>
        <a:xfrm>
          <a:off x="0" y="960782"/>
          <a:ext cx="1517374" cy="311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t>Sales</a:t>
          </a:r>
          <a:r>
            <a:rPr lang="en-IN" sz="1400" b="1" baseline="0"/>
            <a:t> Excecutives:</a:t>
          </a:r>
          <a:endParaRPr lang="en-IN" sz="1400" b="1"/>
        </a:p>
      </xdr:txBody>
    </xdr:sp>
    <xdr:clientData/>
  </xdr:twoCellAnchor>
  <xdr:twoCellAnchor>
    <xdr:from>
      <xdr:col>4</xdr:col>
      <xdr:colOff>53008</xdr:colOff>
      <xdr:row>0</xdr:row>
      <xdr:rowOff>0</xdr:rowOff>
    </xdr:from>
    <xdr:to>
      <xdr:col>6</xdr:col>
      <xdr:colOff>921026</xdr:colOff>
      <xdr:row>1</xdr:row>
      <xdr:rowOff>39756</xdr:rowOff>
    </xdr:to>
    <xdr:sp macro="" textlink="">
      <xdr:nvSpPr>
        <xdr:cNvPr id="16" name="TextBox 15">
          <a:extLst>
            <a:ext uri="{FF2B5EF4-FFF2-40B4-BE49-F238E27FC236}">
              <a16:creationId xmlns:a16="http://schemas.microsoft.com/office/drawing/2014/main" id="{50A559E0-0EDE-DDC8-885C-A12F57892A63}"/>
            </a:ext>
          </a:extLst>
        </xdr:cNvPr>
        <xdr:cNvSpPr txBox="1"/>
      </xdr:nvSpPr>
      <xdr:spPr>
        <a:xfrm>
          <a:off x="2988365" y="0"/>
          <a:ext cx="2855844" cy="397565"/>
        </a:xfrm>
        <a:prstGeom prst="rect">
          <a:avLst/>
        </a:prstGeom>
        <a:solidFill>
          <a:schemeClr val="accent2">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i="0">
              <a:solidFill>
                <a:schemeClr val="accent1">
                  <a:lumMod val="75000"/>
                </a:schemeClr>
              </a:solidFill>
            </a:rPr>
            <a:t>Sales Insights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ount="70">
        <n v="49"/>
        <n v="44"/>
        <n v="45"/>
        <n v="52"/>
        <n v="35"/>
        <n v="86"/>
        <n v="84"/>
        <n v="73"/>
        <n v="54"/>
        <n v="63"/>
        <n v="79"/>
        <n v="95"/>
        <n v="83"/>
        <n v="78"/>
        <n v="14"/>
        <n v="37"/>
        <n v="11"/>
        <n v="19"/>
        <n v="93"/>
        <n v="68"/>
        <n v="99"/>
        <n v="57"/>
        <n v="40"/>
        <n v="47"/>
        <n v="16"/>
        <n v="72"/>
        <n v="30"/>
        <n v="65"/>
        <n v="10"/>
        <n v="82"/>
        <n v="91"/>
        <n v="66"/>
        <n v="70"/>
        <n v="74"/>
        <n v="80"/>
        <n v="17"/>
        <n v="88"/>
        <n v="23"/>
        <n v="15"/>
        <n v="18"/>
        <n v="34"/>
        <n v="76"/>
        <n v="43"/>
        <n v="75"/>
        <n v="87"/>
        <n v="51"/>
        <n v="32"/>
        <n v="41"/>
        <n v="12"/>
        <n v="98"/>
        <n v="50"/>
        <n v="71"/>
        <n v="48"/>
        <n v="77"/>
        <n v="81"/>
        <n v="39"/>
        <n v="46"/>
        <n v="96"/>
        <n v="31"/>
        <n v="92"/>
        <n v="55"/>
        <n v="61"/>
        <n v="24"/>
        <n v="26"/>
        <n v="20"/>
        <n v="25"/>
        <n v="60"/>
        <n v="42"/>
        <n v="90"/>
        <n v="85"/>
      </sharedItems>
    </cacheField>
    <cacheField name="Day2" numFmtId="0">
      <sharedItems containsSemiMixedTypes="0" containsString="0" containsNumber="1" containsInteger="1" minValue="11" maxValue="99" count="70">
        <n v="84"/>
        <n v="85"/>
        <n v="79"/>
        <n v="99"/>
        <n v="54"/>
        <n v="31"/>
        <n v="28"/>
        <n v="97"/>
        <n v="26"/>
        <n v="52"/>
        <n v="17"/>
        <n v="88"/>
        <n v="77"/>
        <n v="58"/>
        <n v="25"/>
        <n v="69"/>
        <n v="46"/>
        <n v="34"/>
        <n v="73"/>
        <n v="22"/>
        <n v="71"/>
        <n v="87"/>
        <n v="38"/>
        <n v="90"/>
        <n v="66"/>
        <n v="30"/>
        <n v="59"/>
        <n v="23"/>
        <n v="13"/>
        <n v="18"/>
        <n v="60"/>
        <n v="51"/>
        <n v="82"/>
        <n v="16"/>
        <n v="72"/>
        <n v="36"/>
        <n v="67"/>
        <n v="39"/>
        <n v="14"/>
        <n v="35"/>
        <n v="12"/>
        <n v="55"/>
        <n v="70"/>
        <n v="78"/>
        <n v="75"/>
        <n v="74"/>
        <n v="11"/>
        <n v="15"/>
        <n v="44"/>
        <n v="83"/>
        <n v="94"/>
        <n v="49"/>
        <n v="63"/>
        <n v="19"/>
        <n v="42"/>
        <n v="80"/>
        <n v="48"/>
        <n v="45"/>
        <n v="96"/>
        <n v="91"/>
        <n v="53"/>
        <n v="62"/>
        <n v="65"/>
        <n v="61"/>
        <n v="92"/>
        <n v="24"/>
        <n v="68"/>
        <n v="21"/>
        <n v="43"/>
        <n v="81"/>
      </sharedItems>
    </cacheField>
    <cacheField name="Day3" numFmtId="0">
      <sharedItems containsSemiMixedTypes="0" containsString="0" containsNumber="1" containsInteger="1" minValue="10" maxValue="99" count="69">
        <n v="98"/>
        <n v="47"/>
        <n v="88"/>
        <n v="13"/>
        <n v="49"/>
        <n v="23"/>
        <n v="38"/>
        <n v="53"/>
        <n v="19"/>
        <n v="40"/>
        <n v="95"/>
        <n v="11"/>
        <n v="66"/>
        <n v="34"/>
        <n v="45"/>
        <n v="96"/>
        <n v="91"/>
        <n v="64"/>
        <n v="97"/>
        <n v="48"/>
        <n v="31"/>
        <n v="18"/>
        <n v="94"/>
        <n v="80"/>
        <n v="92"/>
        <n v="70"/>
        <n v="99"/>
        <n v="17"/>
        <n v="41"/>
        <n v="79"/>
        <n v="25"/>
        <n v="44"/>
        <n v="33"/>
        <n v="74"/>
        <n v="10"/>
        <n v="15"/>
        <n v="12"/>
        <n v="90"/>
        <n v="84"/>
        <n v="72"/>
        <n v="82"/>
        <n v="42"/>
        <n v="56"/>
        <n v="71"/>
        <n v="89"/>
        <n v="46"/>
        <n v="27"/>
        <n v="58"/>
        <n v="87"/>
        <n v="63"/>
        <n v="68"/>
        <n v="62"/>
        <n v="59"/>
        <n v="43"/>
        <n v="65"/>
        <n v="21"/>
        <n v="20"/>
        <n v="50"/>
        <n v="86"/>
        <n v="81"/>
        <n v="16"/>
        <n v="32"/>
        <n v="85"/>
        <n v="35"/>
        <n v="61"/>
        <n v="93"/>
        <n v="26"/>
        <n v="75"/>
        <n v="57"/>
      </sharedItems>
    </cacheField>
    <cacheField name="Day4" numFmtId="0">
      <sharedItems containsSemiMixedTypes="0" containsString="0" containsNumber="1" containsInteger="1" minValue="11" maxValue="99" count="73">
        <n v="67"/>
        <n v="15"/>
        <n v="73"/>
        <n v="95"/>
        <n v="26"/>
        <n v="48"/>
        <n v="80"/>
        <n v="24"/>
        <n v="36"/>
        <n v="53"/>
        <n v="12"/>
        <n v="78"/>
        <n v="22"/>
        <n v="84"/>
        <n v="70"/>
        <n v="66"/>
        <n v="98"/>
        <n v="65"/>
        <n v="45"/>
        <n v="76"/>
        <n v="44"/>
        <n v="34"/>
        <n v="11"/>
        <n v="75"/>
        <n v="72"/>
        <n v="89"/>
        <n v="85"/>
        <n v="77"/>
        <n v="94"/>
        <n v="17"/>
        <n v="61"/>
        <n v="64"/>
        <n v="55"/>
        <n v="46"/>
        <n v="54"/>
        <n v="97"/>
        <n v="60"/>
        <n v="19"/>
        <n v="41"/>
        <n v="99"/>
        <n v="58"/>
        <n v="31"/>
        <n v="81"/>
        <n v="83"/>
        <n v="16"/>
        <n v="43"/>
        <n v="14"/>
        <n v="20"/>
        <n v="33"/>
        <n v="35"/>
        <n v="29"/>
        <n v="82"/>
        <n v="13"/>
        <n v="42"/>
        <n v="23"/>
        <n v="63"/>
        <n v="57"/>
        <n v="90"/>
        <n v="32"/>
        <n v="68"/>
        <n v="69"/>
        <n v="91"/>
        <n v="40"/>
        <n v="25"/>
        <n v="30"/>
        <n v="47"/>
        <n v="28"/>
        <n v="71"/>
        <n v="96"/>
        <n v="92"/>
        <n v="51"/>
        <n v="86"/>
        <n v="56"/>
      </sharedItems>
    </cacheField>
    <cacheField name="Day5" numFmtId="0">
      <sharedItems containsSemiMixedTypes="0" containsString="0" containsNumber="1" containsInteger="1" minValue="10" maxValue="99" count="76">
        <n v="41"/>
        <n v="48"/>
        <n v="94"/>
        <n v="29"/>
        <n v="49"/>
        <n v="77"/>
        <n v="79"/>
        <n v="53"/>
        <n v="20"/>
        <n v="37"/>
        <n v="51"/>
        <n v="91"/>
        <n v="60"/>
        <n v="40"/>
        <n v="31"/>
        <n v="45"/>
        <n v="38"/>
        <n v="70"/>
        <n v="18"/>
        <n v="93"/>
        <n v="52"/>
        <n v="92"/>
        <n v="33"/>
        <n v="34"/>
        <n v="97"/>
        <n v="10"/>
        <n v="89"/>
        <n v="67"/>
        <n v="22"/>
        <n v="47"/>
        <n v="61"/>
        <n v="59"/>
        <n v="30"/>
        <n v="58"/>
        <n v="56"/>
        <n v="28"/>
        <n v="13"/>
        <n v="42"/>
        <n v="78"/>
        <n v="21"/>
        <n v="90"/>
        <n v="72"/>
        <n v="57"/>
        <n v="23"/>
        <n v="71"/>
        <n v="35"/>
        <n v="26"/>
        <n v="44"/>
        <n v="50"/>
        <n v="65"/>
        <n v="11"/>
        <n v="17"/>
        <n v="39"/>
        <n v="27"/>
        <n v="83"/>
        <n v="46"/>
        <n v="63"/>
        <n v="81"/>
        <n v="54"/>
        <n v="73"/>
        <n v="99"/>
        <n v="95"/>
        <n v="19"/>
        <n v="16"/>
        <n v="25"/>
        <n v="76"/>
        <n v="55"/>
        <n v="86"/>
        <n v="88"/>
        <n v="96"/>
        <n v="15"/>
        <n v="98"/>
        <n v="75"/>
        <n v="12"/>
        <n v="43"/>
        <n v="64"/>
      </sharedItems>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x v="0"/>
    <x v="0"/>
    <x v="0"/>
    <x v="0"/>
    <x v="0"/>
    <x v="0"/>
    <n v="500"/>
    <n v="0.67800000000000005"/>
    <n v="0.32199999999999995"/>
  </r>
  <r>
    <s v="Mum-TCL002"/>
    <x v="1"/>
    <x v="1"/>
    <x v="1"/>
    <x v="1"/>
    <x v="1"/>
    <x v="1"/>
    <x v="1"/>
    <x v="1"/>
    <n v="500"/>
    <n v="0.47799999999999998"/>
    <n v="0.52200000000000002"/>
  </r>
  <r>
    <s v="Mum-TCL003"/>
    <x v="2"/>
    <x v="2"/>
    <x v="2"/>
    <x v="2"/>
    <x v="2"/>
    <x v="2"/>
    <x v="2"/>
    <x v="2"/>
    <n v="500"/>
    <n v="0.75800000000000001"/>
    <n v="0.24199999999999999"/>
  </r>
  <r>
    <s v="Mum-TCL004"/>
    <x v="3"/>
    <x v="3"/>
    <x v="3"/>
    <x v="3"/>
    <x v="3"/>
    <x v="3"/>
    <x v="3"/>
    <x v="3"/>
    <n v="500"/>
    <n v="0.57599999999999996"/>
    <n v="0.42400000000000004"/>
  </r>
  <r>
    <s v="Mum-TCL005"/>
    <x v="4"/>
    <x v="4"/>
    <x v="4"/>
    <x v="4"/>
    <x v="4"/>
    <x v="4"/>
    <x v="4"/>
    <x v="4"/>
    <n v="500"/>
    <n v="0.42599999999999999"/>
    <n v="0.57400000000000007"/>
  </r>
  <r>
    <s v="Mum-TCL006"/>
    <x v="5"/>
    <x v="5"/>
    <x v="5"/>
    <x v="5"/>
    <x v="5"/>
    <x v="5"/>
    <x v="5"/>
    <x v="5"/>
    <n v="500"/>
    <n v="0.53"/>
    <n v="0.47"/>
  </r>
  <r>
    <s v="Mum-TCL007"/>
    <x v="6"/>
    <x v="6"/>
    <x v="6"/>
    <x v="6"/>
    <x v="0"/>
    <x v="6"/>
    <x v="6"/>
    <x v="6"/>
    <n v="500"/>
    <n v="0.73799999999999999"/>
    <n v="0.26200000000000001"/>
  </r>
  <r>
    <s v="Mum-TCL008"/>
    <x v="7"/>
    <x v="7"/>
    <x v="7"/>
    <x v="7"/>
    <x v="6"/>
    <x v="7"/>
    <x v="7"/>
    <x v="7"/>
    <n v="500"/>
    <n v="0.56999999999999995"/>
    <n v="0.43000000000000005"/>
  </r>
  <r>
    <s v="Mum-TCL009"/>
    <x v="8"/>
    <x v="0"/>
    <x v="8"/>
    <x v="8"/>
    <x v="7"/>
    <x v="8"/>
    <x v="8"/>
    <x v="8"/>
    <n v="500"/>
    <n v="0.378"/>
    <n v="0.622"/>
  </r>
  <r>
    <s v="Mum-TCL010"/>
    <x v="9"/>
    <x v="1"/>
    <x v="3"/>
    <x v="9"/>
    <x v="8"/>
    <x v="9"/>
    <x v="9"/>
    <x v="4"/>
    <n v="500"/>
    <n v="0.42599999999999999"/>
    <n v="0.57400000000000007"/>
  </r>
  <r>
    <s v="Mum-TCL011"/>
    <x v="10"/>
    <x v="2"/>
    <x v="9"/>
    <x v="10"/>
    <x v="9"/>
    <x v="5"/>
    <x v="10"/>
    <x v="9"/>
    <n v="500"/>
    <n v="0.438"/>
    <n v="0.56200000000000006"/>
  </r>
  <r>
    <s v="Mum-TCL012"/>
    <x v="11"/>
    <x v="3"/>
    <x v="10"/>
    <x v="3"/>
    <x v="10"/>
    <x v="10"/>
    <x v="11"/>
    <x v="10"/>
    <n v="500"/>
    <n v="0.752"/>
    <n v="0.248"/>
  </r>
  <r>
    <s v="Mum-TCL013"/>
    <x v="12"/>
    <x v="4"/>
    <x v="11"/>
    <x v="11"/>
    <x v="11"/>
    <x v="11"/>
    <x v="12"/>
    <x v="11"/>
    <n v="500"/>
    <n v="0.66400000000000003"/>
    <n v="0.33599999999999997"/>
  </r>
  <r>
    <s v="Mum-TCL014"/>
    <x v="13"/>
    <x v="5"/>
    <x v="12"/>
    <x v="12"/>
    <x v="12"/>
    <x v="12"/>
    <x v="13"/>
    <x v="3"/>
    <n v="500"/>
    <n v="0.57599999999999996"/>
    <n v="0.42400000000000004"/>
  </r>
  <r>
    <s v="Mum-TCL015"/>
    <x v="14"/>
    <x v="6"/>
    <x v="13"/>
    <x v="13"/>
    <x v="13"/>
    <x v="13"/>
    <x v="14"/>
    <x v="7"/>
    <n v="500"/>
    <n v="0.56999999999999995"/>
    <n v="0.43000000000000005"/>
  </r>
  <r>
    <s v="Mum-TCL016"/>
    <x v="15"/>
    <x v="7"/>
    <x v="14"/>
    <x v="14"/>
    <x v="14"/>
    <x v="14"/>
    <x v="15"/>
    <x v="12"/>
    <n v="500"/>
    <n v="0.39800000000000002"/>
    <n v="0.60199999999999998"/>
  </r>
  <r>
    <s v="Mum-TCL017"/>
    <x v="16"/>
    <x v="0"/>
    <x v="15"/>
    <x v="15"/>
    <x v="15"/>
    <x v="15"/>
    <x v="16"/>
    <x v="13"/>
    <n v="500"/>
    <n v="0.61199999999999999"/>
    <n v="0.38800000000000001"/>
  </r>
  <r>
    <s v="Mum-TCL018"/>
    <x v="17"/>
    <x v="1"/>
    <x v="16"/>
    <x v="16"/>
    <x v="16"/>
    <x v="16"/>
    <x v="15"/>
    <x v="14"/>
    <n v="500"/>
    <n v="0.58199999999999996"/>
    <n v="0.41800000000000004"/>
  </r>
  <r>
    <s v="Mum-TCL019"/>
    <x v="18"/>
    <x v="2"/>
    <x v="17"/>
    <x v="17"/>
    <x v="17"/>
    <x v="17"/>
    <x v="17"/>
    <x v="15"/>
    <n v="500"/>
    <n v="0.504"/>
    <n v="0.496"/>
  </r>
  <r>
    <s v="Mum-TCL020"/>
    <x v="19"/>
    <x v="3"/>
    <x v="18"/>
    <x v="0"/>
    <x v="3"/>
    <x v="18"/>
    <x v="18"/>
    <x v="16"/>
    <n v="500"/>
    <n v="0.50600000000000001"/>
    <n v="0.49399999999999999"/>
  </r>
  <r>
    <s v="Mum-TCL021"/>
    <x v="20"/>
    <x v="4"/>
    <x v="19"/>
    <x v="18"/>
    <x v="18"/>
    <x v="19"/>
    <x v="7"/>
    <x v="17"/>
    <n v="500"/>
    <n v="0.73399999999999999"/>
    <n v="0.26600000000000001"/>
  </r>
  <r>
    <s v="Mum-TCL022"/>
    <x v="21"/>
    <x v="5"/>
    <x v="20"/>
    <x v="10"/>
    <x v="19"/>
    <x v="20"/>
    <x v="19"/>
    <x v="18"/>
    <n v="500"/>
    <n v="0.60199999999999998"/>
    <n v="0.39800000000000002"/>
  </r>
  <r>
    <s v="Mum-TCL023"/>
    <x v="22"/>
    <x v="6"/>
    <x v="21"/>
    <x v="6"/>
    <x v="20"/>
    <x v="21"/>
    <x v="20"/>
    <x v="19"/>
    <n v="500"/>
    <n v="0.40400000000000003"/>
    <n v="0.59599999999999997"/>
  </r>
  <r>
    <s v="Mum-TCL024"/>
    <x v="23"/>
    <x v="7"/>
    <x v="22"/>
    <x v="19"/>
    <x v="21"/>
    <x v="22"/>
    <x v="21"/>
    <x v="20"/>
    <n v="500"/>
    <n v="0.36599999999999999"/>
    <n v="0.63400000000000001"/>
  </r>
  <r>
    <s v="Mum-TCL025"/>
    <x v="24"/>
    <x v="0"/>
    <x v="23"/>
    <x v="3"/>
    <x v="22"/>
    <x v="23"/>
    <x v="3"/>
    <x v="21"/>
    <n v="500"/>
    <n v="0.68799999999999994"/>
    <n v="0.31200000000000006"/>
  </r>
  <r>
    <s v="Mum-TCL026"/>
    <x v="25"/>
    <x v="1"/>
    <x v="24"/>
    <x v="20"/>
    <x v="23"/>
    <x v="19"/>
    <x v="22"/>
    <x v="22"/>
    <n v="500"/>
    <n v="0.55200000000000005"/>
    <n v="0.44799999999999995"/>
  </r>
  <r>
    <s v="Mum-TCL027"/>
    <x v="26"/>
    <x v="2"/>
    <x v="25"/>
    <x v="21"/>
    <x v="24"/>
    <x v="24"/>
    <x v="23"/>
    <x v="23"/>
    <n v="500"/>
    <n v="0.71399999999999997"/>
    <n v="0.28600000000000003"/>
  </r>
  <r>
    <s v="Mum-TCL028"/>
    <x v="27"/>
    <x v="3"/>
    <x v="26"/>
    <x v="22"/>
    <x v="25"/>
    <x v="25"/>
    <x v="24"/>
    <x v="24"/>
    <n v="500"/>
    <n v="0.64800000000000002"/>
    <n v="0.35199999999999998"/>
  </r>
  <r>
    <s v="Mum-TCL029"/>
    <x v="28"/>
    <x v="4"/>
    <x v="27"/>
    <x v="23"/>
    <x v="16"/>
    <x v="26"/>
    <x v="25"/>
    <x v="25"/>
    <n v="500"/>
    <n v="0.68200000000000005"/>
    <n v="0.31799999999999995"/>
  </r>
  <r>
    <s v="Mum-TCL030"/>
    <x v="29"/>
    <x v="5"/>
    <x v="12"/>
    <x v="16"/>
    <x v="26"/>
    <x v="8"/>
    <x v="26"/>
    <x v="26"/>
    <n v="500"/>
    <n v="0.70599999999999996"/>
    <n v="0.29400000000000004"/>
  </r>
  <r>
    <s v="Mum-TCL031"/>
    <x v="30"/>
    <x v="6"/>
    <x v="28"/>
    <x v="24"/>
    <x v="9"/>
    <x v="12"/>
    <x v="16"/>
    <x v="27"/>
    <n v="500"/>
    <n v="0.35199999999999998"/>
    <n v="0.64800000000000002"/>
  </r>
  <r>
    <s v="Mum-TCL032"/>
    <x v="31"/>
    <x v="7"/>
    <x v="15"/>
    <x v="25"/>
    <x v="8"/>
    <x v="27"/>
    <x v="27"/>
    <x v="28"/>
    <n v="500"/>
    <n v="0.46"/>
    <n v="0.54"/>
  </r>
  <r>
    <s v="Mum-TCL033"/>
    <x v="32"/>
    <x v="0"/>
    <x v="12"/>
    <x v="16"/>
    <x v="27"/>
    <x v="28"/>
    <x v="21"/>
    <x v="11"/>
    <n v="500"/>
    <n v="0.66400000000000003"/>
    <n v="0.33599999999999997"/>
  </r>
  <r>
    <s v="Mum-TCL034"/>
    <x v="33"/>
    <x v="1"/>
    <x v="6"/>
    <x v="26"/>
    <x v="28"/>
    <x v="29"/>
    <x v="28"/>
    <x v="29"/>
    <n v="500"/>
    <n v="0.44600000000000001"/>
    <n v="0.55400000000000005"/>
  </r>
  <r>
    <s v="Mum-TCL035"/>
    <x v="34"/>
    <x v="2"/>
    <x v="29"/>
    <x v="4"/>
    <x v="29"/>
    <x v="30"/>
    <x v="29"/>
    <x v="30"/>
    <n v="500"/>
    <n v="0.64600000000000002"/>
    <n v="0.35399999999999998"/>
  </r>
  <r>
    <s v="Mum-TCL036"/>
    <x v="35"/>
    <x v="3"/>
    <x v="23"/>
    <x v="27"/>
    <x v="8"/>
    <x v="31"/>
    <x v="30"/>
    <x v="31"/>
    <n v="500"/>
    <n v="0.42799999999999999"/>
    <n v="0.57200000000000006"/>
  </r>
  <r>
    <s v="Mum-TCL037"/>
    <x v="36"/>
    <x v="4"/>
    <x v="30"/>
    <x v="28"/>
    <x v="29"/>
    <x v="26"/>
    <x v="27"/>
    <x v="32"/>
    <n v="500"/>
    <n v="0.67"/>
    <n v="0.32999999999999996"/>
  </r>
  <r>
    <s v="Mum-TCL038"/>
    <x v="37"/>
    <x v="5"/>
    <x v="31"/>
    <x v="26"/>
    <x v="30"/>
    <x v="32"/>
    <x v="31"/>
    <x v="33"/>
    <n v="500"/>
    <n v="0.52800000000000002"/>
    <n v="0.47199999999999998"/>
  </r>
  <r>
    <s v="Mum-TCL039"/>
    <x v="38"/>
    <x v="6"/>
    <x v="32"/>
    <x v="29"/>
    <x v="2"/>
    <x v="33"/>
    <x v="20"/>
    <x v="34"/>
    <n v="500"/>
    <n v="0.54800000000000004"/>
    <n v="0.45199999999999996"/>
  </r>
  <r>
    <s v="Mum-TCL040"/>
    <x v="39"/>
    <x v="7"/>
    <x v="15"/>
    <x v="30"/>
    <x v="31"/>
    <x v="30"/>
    <x v="32"/>
    <x v="35"/>
    <n v="500"/>
    <n v="0.46400000000000002"/>
    <n v="0.53600000000000003"/>
  </r>
  <r>
    <s v="Mum-TCL041"/>
    <x v="40"/>
    <x v="0"/>
    <x v="24"/>
    <x v="16"/>
    <x v="32"/>
    <x v="34"/>
    <x v="33"/>
    <x v="36"/>
    <n v="500"/>
    <n v="0.41399999999999998"/>
    <n v="0.58600000000000008"/>
  </r>
  <r>
    <s v="Mum-TCL042"/>
    <x v="41"/>
    <x v="1"/>
    <x v="23"/>
    <x v="7"/>
    <x v="33"/>
    <x v="35"/>
    <x v="34"/>
    <x v="37"/>
    <n v="500"/>
    <n v="0.74199999999999999"/>
    <n v="0.25800000000000001"/>
  </r>
  <r>
    <s v="Mum-TCL043"/>
    <x v="42"/>
    <x v="2"/>
    <x v="5"/>
    <x v="19"/>
    <x v="34"/>
    <x v="36"/>
    <x v="35"/>
    <x v="38"/>
    <n v="500"/>
    <n v="0.41199999999999998"/>
    <n v="0.58800000000000008"/>
  </r>
  <r>
    <s v="Mum-TCL044"/>
    <x v="43"/>
    <x v="3"/>
    <x v="33"/>
    <x v="10"/>
    <x v="14"/>
    <x v="31"/>
    <x v="36"/>
    <x v="4"/>
    <n v="500"/>
    <n v="0.42599999999999999"/>
    <n v="0.57400000000000007"/>
  </r>
  <r>
    <s v="Mum-TCL045"/>
    <x v="44"/>
    <x v="4"/>
    <x v="34"/>
    <x v="31"/>
    <x v="35"/>
    <x v="35"/>
    <x v="37"/>
    <x v="7"/>
    <n v="500"/>
    <n v="0.56999999999999995"/>
    <n v="0.43000000000000005"/>
  </r>
  <r>
    <s v="Mum-TCL046"/>
    <x v="45"/>
    <x v="5"/>
    <x v="0"/>
    <x v="32"/>
    <x v="10"/>
    <x v="33"/>
    <x v="38"/>
    <x v="39"/>
    <n v="500"/>
    <n v="0.7"/>
    <n v="0.30000000000000004"/>
  </r>
  <r>
    <s v="Mum-TCL047"/>
    <x v="46"/>
    <x v="6"/>
    <x v="35"/>
    <x v="11"/>
    <x v="36"/>
    <x v="34"/>
    <x v="39"/>
    <x v="40"/>
    <n v="500"/>
    <n v="0.38400000000000001"/>
    <n v="0.61599999999999999"/>
  </r>
  <r>
    <s v="Mum-TCL048"/>
    <x v="47"/>
    <x v="7"/>
    <x v="33"/>
    <x v="33"/>
    <x v="33"/>
    <x v="8"/>
    <x v="22"/>
    <x v="41"/>
    <n v="500"/>
    <n v="0.46600000000000003"/>
    <n v="0.53400000000000003"/>
  </r>
  <r>
    <s v="Mum-TCL049"/>
    <x v="48"/>
    <x v="0"/>
    <x v="7"/>
    <x v="34"/>
    <x v="6"/>
    <x v="37"/>
    <x v="40"/>
    <x v="42"/>
    <n v="500"/>
    <n v="0.58399999999999996"/>
    <n v="0.41600000000000004"/>
  </r>
  <r>
    <s v="Mum-TCL050"/>
    <x v="49"/>
    <x v="1"/>
    <x v="35"/>
    <x v="0"/>
    <x v="37"/>
    <x v="27"/>
    <x v="41"/>
    <x v="43"/>
    <n v="500"/>
    <n v="0.68"/>
    <n v="0.31999999999999995"/>
  </r>
  <r>
    <s v="Mum-TCL051"/>
    <x v="50"/>
    <x v="2"/>
    <x v="3"/>
    <x v="35"/>
    <x v="38"/>
    <x v="38"/>
    <x v="42"/>
    <x v="44"/>
    <n v="500"/>
    <n v="0.54"/>
    <n v="0.45999999999999996"/>
  </r>
  <r>
    <s v="Mum-TCL052"/>
    <x v="51"/>
    <x v="3"/>
    <x v="27"/>
    <x v="36"/>
    <x v="39"/>
    <x v="12"/>
    <x v="43"/>
    <x v="45"/>
    <n v="500"/>
    <n v="0.498"/>
    <n v="0.502"/>
  </r>
  <r>
    <s v="Mum-TCL053"/>
    <x v="52"/>
    <x v="4"/>
    <x v="36"/>
    <x v="37"/>
    <x v="30"/>
    <x v="39"/>
    <x v="44"/>
    <x v="46"/>
    <n v="500"/>
    <n v="0.64400000000000002"/>
    <n v="0.35599999999999998"/>
  </r>
  <r>
    <s v="Mum-TCL054"/>
    <x v="53"/>
    <x v="5"/>
    <x v="37"/>
    <x v="38"/>
    <x v="35"/>
    <x v="40"/>
    <x v="6"/>
    <x v="8"/>
    <n v="500"/>
    <n v="0.378"/>
    <n v="0.622"/>
  </r>
  <r>
    <s v="Mum-TCL055"/>
    <x v="54"/>
    <x v="6"/>
    <x v="38"/>
    <x v="36"/>
    <x v="19"/>
    <x v="3"/>
    <x v="45"/>
    <x v="47"/>
    <n v="500"/>
    <n v="0.52"/>
    <n v="0.48"/>
  </r>
  <r>
    <s v="Mum-TCL056"/>
    <x v="55"/>
    <x v="7"/>
    <x v="39"/>
    <x v="39"/>
    <x v="40"/>
    <x v="41"/>
    <x v="46"/>
    <x v="40"/>
    <n v="500"/>
    <n v="0.38400000000000001"/>
    <n v="0.61599999999999999"/>
  </r>
  <r>
    <s v="Mum-TCL057"/>
    <x v="56"/>
    <x v="0"/>
    <x v="21"/>
    <x v="30"/>
    <x v="41"/>
    <x v="42"/>
    <x v="47"/>
    <x v="48"/>
    <n v="500"/>
    <n v="0.56799999999999995"/>
    <n v="0.43200000000000005"/>
  </r>
  <r>
    <s v="Mum-TCL058"/>
    <x v="57"/>
    <x v="1"/>
    <x v="40"/>
    <x v="7"/>
    <x v="12"/>
    <x v="18"/>
    <x v="48"/>
    <x v="42"/>
    <n v="500"/>
    <n v="0.58399999999999996"/>
    <n v="0.41600000000000004"/>
  </r>
  <r>
    <s v="Mum-TCL059"/>
    <x v="58"/>
    <x v="2"/>
    <x v="12"/>
    <x v="40"/>
    <x v="25"/>
    <x v="43"/>
    <x v="20"/>
    <x v="49"/>
    <n v="500"/>
    <n v="0.6"/>
    <n v="0.4"/>
  </r>
  <r>
    <s v="Mum-TCL060"/>
    <x v="59"/>
    <x v="3"/>
    <x v="41"/>
    <x v="41"/>
    <x v="42"/>
    <x v="44"/>
    <x v="30"/>
    <x v="33"/>
    <n v="500"/>
    <n v="0.52800000000000002"/>
    <n v="0.47199999999999998"/>
  </r>
  <r>
    <s v="Mum-TCL061"/>
    <x v="60"/>
    <x v="4"/>
    <x v="22"/>
    <x v="42"/>
    <x v="8"/>
    <x v="8"/>
    <x v="20"/>
    <x v="50"/>
    <n v="500"/>
    <n v="0.434"/>
    <n v="0.56600000000000006"/>
  </r>
  <r>
    <s v="Mum-TCL062"/>
    <x v="61"/>
    <x v="5"/>
    <x v="1"/>
    <x v="30"/>
    <x v="43"/>
    <x v="21"/>
    <x v="9"/>
    <x v="51"/>
    <n v="500"/>
    <n v="0.49199999999999999"/>
    <n v="0.50800000000000001"/>
  </r>
  <r>
    <s v="Mum-TCL063"/>
    <x v="62"/>
    <x v="6"/>
    <x v="42"/>
    <x v="43"/>
    <x v="35"/>
    <x v="16"/>
    <x v="22"/>
    <x v="52"/>
    <n v="500"/>
    <n v="0.53400000000000003"/>
    <n v="0.46599999999999997"/>
  </r>
  <r>
    <s v="Mum-TCL064"/>
    <x v="63"/>
    <x v="7"/>
    <x v="43"/>
    <x v="44"/>
    <x v="44"/>
    <x v="35"/>
    <x v="4"/>
    <x v="53"/>
    <n v="500"/>
    <n v="0.77"/>
    <n v="0.22999999999999998"/>
  </r>
  <r>
    <s v="Mum-TCL065"/>
    <x v="64"/>
    <x v="0"/>
    <x v="33"/>
    <x v="31"/>
    <x v="18"/>
    <x v="2"/>
    <x v="22"/>
    <x v="54"/>
    <n v="500"/>
    <n v="0.65600000000000003"/>
    <n v="0.34399999999999997"/>
  </r>
  <r>
    <s v="Mum-TCL066"/>
    <x v="65"/>
    <x v="1"/>
    <x v="1"/>
    <x v="35"/>
    <x v="11"/>
    <x v="18"/>
    <x v="32"/>
    <x v="55"/>
    <n v="500"/>
    <n v="0.33200000000000002"/>
    <n v="0.66799999999999993"/>
  </r>
  <r>
    <s v="Mum-TCL067"/>
    <x v="66"/>
    <x v="2"/>
    <x v="44"/>
    <x v="2"/>
    <x v="45"/>
    <x v="17"/>
    <x v="49"/>
    <x v="56"/>
    <n v="500"/>
    <n v="0.68400000000000005"/>
    <n v="0.31599999999999995"/>
  </r>
  <r>
    <s v="Mum-TCL068"/>
    <x v="67"/>
    <x v="3"/>
    <x v="32"/>
    <x v="9"/>
    <x v="23"/>
    <x v="45"/>
    <x v="1"/>
    <x v="57"/>
    <n v="500"/>
    <n v="0.58599999999999997"/>
    <n v="0.41400000000000003"/>
  </r>
  <r>
    <s v="Mum-TCL069"/>
    <x v="68"/>
    <x v="4"/>
    <x v="2"/>
    <x v="8"/>
    <x v="46"/>
    <x v="46"/>
    <x v="31"/>
    <x v="58"/>
    <n v="500"/>
    <n v="0.34200000000000003"/>
    <n v="0.65799999999999992"/>
  </r>
  <r>
    <s v="Mum-TCL070"/>
    <x v="69"/>
    <x v="5"/>
    <x v="45"/>
    <x v="8"/>
    <x v="47"/>
    <x v="43"/>
    <x v="50"/>
    <x v="59"/>
    <n v="500"/>
    <n v="0.45800000000000002"/>
    <n v="0.54200000000000004"/>
  </r>
  <r>
    <s v="Mum-TCL071"/>
    <x v="70"/>
    <x v="6"/>
    <x v="19"/>
    <x v="35"/>
    <x v="35"/>
    <x v="47"/>
    <x v="51"/>
    <x v="60"/>
    <n v="500"/>
    <n v="0.312"/>
    <n v="0.68799999999999994"/>
  </r>
  <r>
    <s v="Mum-TCL072"/>
    <x v="71"/>
    <x v="7"/>
    <x v="46"/>
    <x v="45"/>
    <x v="21"/>
    <x v="48"/>
    <x v="10"/>
    <x v="61"/>
    <n v="500"/>
    <n v="0.41599999999999998"/>
    <n v="0.58400000000000007"/>
  </r>
  <r>
    <s v="Mum-TCL073"/>
    <x v="72"/>
    <x v="0"/>
    <x v="47"/>
    <x v="46"/>
    <x v="45"/>
    <x v="49"/>
    <x v="25"/>
    <x v="62"/>
    <n v="500"/>
    <n v="0.28599999999999998"/>
    <n v="0.71399999999999997"/>
  </r>
  <r>
    <s v="Mum-TCL074"/>
    <x v="73"/>
    <x v="1"/>
    <x v="47"/>
    <x v="10"/>
    <x v="40"/>
    <x v="23"/>
    <x v="52"/>
    <x v="63"/>
    <n v="500"/>
    <n v="0.50800000000000001"/>
    <n v="0.49199999999999999"/>
  </r>
  <r>
    <s v="Mum-TCL075"/>
    <x v="74"/>
    <x v="2"/>
    <x v="48"/>
    <x v="7"/>
    <x v="14"/>
    <x v="50"/>
    <x v="0"/>
    <x v="64"/>
    <n v="500"/>
    <n v="0.44800000000000001"/>
    <n v="0.55200000000000005"/>
  </r>
  <r>
    <s v="Mum-TCL076"/>
    <x v="75"/>
    <x v="3"/>
    <x v="17"/>
    <x v="34"/>
    <x v="48"/>
    <x v="51"/>
    <x v="53"/>
    <x v="65"/>
    <n v="500"/>
    <n v="0.57399999999999995"/>
    <n v="0.42600000000000005"/>
  </r>
  <r>
    <s v="Mum-TCL077"/>
    <x v="76"/>
    <x v="4"/>
    <x v="49"/>
    <x v="47"/>
    <x v="39"/>
    <x v="0"/>
    <x v="23"/>
    <x v="66"/>
    <n v="500"/>
    <n v="0.57199999999999995"/>
    <n v="0.42800000000000005"/>
  </r>
  <r>
    <s v="Mum-TCL078"/>
    <x v="77"/>
    <x v="5"/>
    <x v="50"/>
    <x v="48"/>
    <x v="45"/>
    <x v="52"/>
    <x v="21"/>
    <x v="67"/>
    <n v="500"/>
    <n v="0.49"/>
    <n v="0.51"/>
  </r>
  <r>
    <s v="Mum-TCL079"/>
    <x v="78"/>
    <x v="6"/>
    <x v="22"/>
    <x v="32"/>
    <x v="39"/>
    <x v="53"/>
    <x v="15"/>
    <x v="68"/>
    <n v="500"/>
    <n v="0.56200000000000006"/>
    <n v="0.43799999999999994"/>
  </r>
  <r>
    <s v="Mum-TCL080"/>
    <x v="79"/>
    <x v="7"/>
    <x v="37"/>
    <x v="49"/>
    <x v="49"/>
    <x v="17"/>
    <x v="54"/>
    <x v="69"/>
    <n v="500"/>
    <n v="0.63400000000000001"/>
    <n v="0.36599999999999999"/>
  </r>
  <r>
    <s v="Mum-TCL081"/>
    <x v="80"/>
    <x v="0"/>
    <x v="51"/>
    <x v="50"/>
    <x v="14"/>
    <x v="3"/>
    <x v="55"/>
    <x v="70"/>
    <n v="500"/>
    <n v="0.70199999999999996"/>
    <n v="0.29800000000000004"/>
  </r>
  <r>
    <s v="Mum-TCL082"/>
    <x v="81"/>
    <x v="1"/>
    <x v="52"/>
    <x v="51"/>
    <x v="50"/>
    <x v="54"/>
    <x v="39"/>
    <x v="71"/>
    <n v="500"/>
    <n v="0.41799999999999998"/>
    <n v="0.58200000000000007"/>
  </r>
  <r>
    <s v="Mum-TCL083"/>
    <x v="82"/>
    <x v="2"/>
    <x v="53"/>
    <x v="49"/>
    <x v="17"/>
    <x v="9"/>
    <x v="36"/>
    <x v="72"/>
    <n v="500"/>
    <n v="0.57999999999999996"/>
    <n v="0.42000000000000004"/>
  </r>
  <r>
    <s v="Mum-TCL084"/>
    <x v="83"/>
    <x v="3"/>
    <x v="54"/>
    <x v="52"/>
    <x v="2"/>
    <x v="25"/>
    <x v="56"/>
    <x v="73"/>
    <n v="500"/>
    <n v="0.76800000000000002"/>
    <n v="0.23199999999999998"/>
  </r>
  <r>
    <s v="Mum-TCL085"/>
    <x v="84"/>
    <x v="4"/>
    <x v="55"/>
    <x v="21"/>
    <x v="51"/>
    <x v="6"/>
    <x v="57"/>
    <x v="74"/>
    <n v="500"/>
    <n v="0.69799999999999995"/>
    <n v="0.30200000000000005"/>
  </r>
  <r>
    <s v="Mum-TCL086"/>
    <x v="85"/>
    <x v="5"/>
    <x v="56"/>
    <x v="53"/>
    <x v="52"/>
    <x v="40"/>
    <x v="22"/>
    <x v="75"/>
    <n v="500"/>
    <n v="0.43"/>
    <n v="0.57000000000000006"/>
  </r>
  <r>
    <s v="Mum-TCL087"/>
    <x v="86"/>
    <x v="6"/>
    <x v="40"/>
    <x v="47"/>
    <x v="53"/>
    <x v="55"/>
    <x v="58"/>
    <x v="71"/>
    <n v="500"/>
    <n v="0.41799999999999998"/>
    <n v="0.58200000000000007"/>
  </r>
  <r>
    <s v="Mum-TCL088"/>
    <x v="87"/>
    <x v="7"/>
    <x v="46"/>
    <x v="2"/>
    <x v="54"/>
    <x v="56"/>
    <x v="59"/>
    <x v="13"/>
    <n v="500"/>
    <n v="0.61199999999999999"/>
    <n v="0.38800000000000001"/>
  </r>
  <r>
    <s v="Mum-TCL089"/>
    <x v="88"/>
    <x v="0"/>
    <x v="25"/>
    <x v="32"/>
    <x v="47"/>
    <x v="8"/>
    <x v="22"/>
    <x v="68"/>
    <n v="500"/>
    <n v="0.56200000000000006"/>
    <n v="0.43799999999999994"/>
  </r>
  <r>
    <s v="Mum-TCL090"/>
    <x v="89"/>
    <x v="1"/>
    <x v="16"/>
    <x v="15"/>
    <x v="4"/>
    <x v="57"/>
    <x v="60"/>
    <x v="76"/>
    <n v="500"/>
    <n v="0.63600000000000001"/>
    <n v="0.36399999999999999"/>
  </r>
  <r>
    <s v="Mum-TCL091"/>
    <x v="90"/>
    <x v="2"/>
    <x v="34"/>
    <x v="18"/>
    <x v="55"/>
    <x v="24"/>
    <x v="58"/>
    <x v="49"/>
    <n v="500"/>
    <n v="0.6"/>
    <n v="0.4"/>
  </r>
  <r>
    <s v="Mum-TCL092"/>
    <x v="91"/>
    <x v="3"/>
    <x v="18"/>
    <x v="54"/>
    <x v="6"/>
    <x v="16"/>
    <x v="25"/>
    <x v="68"/>
    <n v="500"/>
    <n v="0.56200000000000006"/>
    <n v="0.43799999999999994"/>
  </r>
  <r>
    <s v="Mum-TCL093"/>
    <x v="92"/>
    <x v="4"/>
    <x v="39"/>
    <x v="55"/>
    <x v="56"/>
    <x v="58"/>
    <x v="61"/>
    <x v="67"/>
    <n v="500"/>
    <n v="0.49"/>
    <n v="0.51"/>
  </r>
  <r>
    <s v="Mum-TCL094"/>
    <x v="93"/>
    <x v="5"/>
    <x v="57"/>
    <x v="38"/>
    <x v="56"/>
    <x v="41"/>
    <x v="47"/>
    <x v="77"/>
    <n v="500"/>
    <n v="0.41"/>
    <n v="0.59000000000000008"/>
  </r>
  <r>
    <s v="Mum-TCL095"/>
    <x v="94"/>
    <x v="6"/>
    <x v="15"/>
    <x v="30"/>
    <x v="57"/>
    <x v="59"/>
    <x v="62"/>
    <x v="78"/>
    <n v="500"/>
    <n v="0.46800000000000003"/>
    <n v="0.53200000000000003"/>
  </r>
  <r>
    <s v="Mum-TCL096"/>
    <x v="95"/>
    <x v="7"/>
    <x v="4"/>
    <x v="2"/>
    <x v="27"/>
    <x v="26"/>
    <x v="63"/>
    <x v="35"/>
    <n v="500"/>
    <n v="0.46400000000000002"/>
    <n v="0.53600000000000003"/>
  </r>
  <r>
    <s v="Mum-TCL097"/>
    <x v="96"/>
    <x v="0"/>
    <x v="58"/>
    <x v="56"/>
    <x v="42"/>
    <x v="26"/>
    <x v="64"/>
    <x v="67"/>
    <n v="500"/>
    <n v="0.49"/>
    <n v="0.51"/>
  </r>
  <r>
    <s v="Mum-TCL098"/>
    <x v="97"/>
    <x v="1"/>
    <x v="37"/>
    <x v="49"/>
    <x v="58"/>
    <x v="60"/>
    <x v="64"/>
    <x v="66"/>
    <n v="500"/>
    <n v="0.57199999999999995"/>
    <n v="0.42800000000000005"/>
  </r>
  <r>
    <s v="Mum-TCL099"/>
    <x v="98"/>
    <x v="2"/>
    <x v="35"/>
    <x v="7"/>
    <x v="59"/>
    <x v="58"/>
    <x v="65"/>
    <x v="79"/>
    <n v="500"/>
    <n v="0.60599999999999998"/>
    <n v="0.39400000000000002"/>
  </r>
  <r>
    <s v="Mum-TCL100"/>
    <x v="99"/>
    <x v="3"/>
    <x v="59"/>
    <x v="57"/>
    <x v="53"/>
    <x v="61"/>
    <x v="29"/>
    <x v="76"/>
    <n v="500"/>
    <n v="0.63600000000000001"/>
    <n v="0.36399999999999999"/>
  </r>
  <r>
    <s v="Mum-TCL101"/>
    <x v="100"/>
    <x v="4"/>
    <x v="0"/>
    <x v="12"/>
    <x v="21"/>
    <x v="60"/>
    <x v="66"/>
    <x v="80"/>
    <n v="500"/>
    <n v="0.53600000000000003"/>
    <n v="0.46399999999999997"/>
  </r>
  <r>
    <s v="Mum-TCL102"/>
    <x v="101"/>
    <x v="5"/>
    <x v="54"/>
    <x v="11"/>
    <x v="8"/>
    <x v="3"/>
    <x v="52"/>
    <x v="46"/>
    <n v="500"/>
    <n v="0.64400000000000002"/>
    <n v="0.35599999999999998"/>
  </r>
  <r>
    <s v="Mum-TCL103"/>
    <x v="102"/>
    <x v="6"/>
    <x v="60"/>
    <x v="38"/>
    <x v="28"/>
    <x v="62"/>
    <x v="17"/>
    <x v="81"/>
    <n v="500"/>
    <n v="0.44"/>
    <n v="0.56000000000000005"/>
  </r>
  <r>
    <s v="Mum-TCL104"/>
    <x v="103"/>
    <x v="7"/>
    <x v="5"/>
    <x v="28"/>
    <x v="26"/>
    <x v="63"/>
    <x v="54"/>
    <x v="13"/>
    <n v="500"/>
    <n v="0.61199999999999999"/>
    <n v="0.38800000000000001"/>
  </r>
  <r>
    <s v="Mum-TCL105"/>
    <x v="104"/>
    <x v="0"/>
    <x v="36"/>
    <x v="58"/>
    <x v="60"/>
    <x v="17"/>
    <x v="67"/>
    <x v="70"/>
    <n v="500"/>
    <n v="0.70199999999999996"/>
    <n v="0.29800000000000004"/>
  </r>
  <r>
    <s v="Mum-TCL106"/>
    <x v="105"/>
    <x v="1"/>
    <x v="61"/>
    <x v="18"/>
    <x v="13"/>
    <x v="64"/>
    <x v="32"/>
    <x v="82"/>
    <n v="500"/>
    <n v="0.45600000000000002"/>
    <n v="0.54400000000000004"/>
  </r>
  <r>
    <s v="Mum-TCL107"/>
    <x v="106"/>
    <x v="2"/>
    <x v="61"/>
    <x v="59"/>
    <x v="7"/>
    <x v="11"/>
    <x v="11"/>
    <x v="83"/>
    <n v="500"/>
    <n v="0.748"/>
    <n v="0.252"/>
  </r>
  <r>
    <s v="Mum-TCL108"/>
    <x v="107"/>
    <x v="3"/>
    <x v="43"/>
    <x v="60"/>
    <x v="46"/>
    <x v="4"/>
    <x v="32"/>
    <x v="84"/>
    <n v="500"/>
    <n v="0.42199999999999999"/>
    <n v="0.57800000000000007"/>
  </r>
  <r>
    <s v="Mum-TCL109"/>
    <x v="108"/>
    <x v="4"/>
    <x v="62"/>
    <x v="5"/>
    <x v="28"/>
    <x v="56"/>
    <x v="54"/>
    <x v="85"/>
    <n v="500"/>
    <n v="0.47199999999999998"/>
    <n v="0.52800000000000002"/>
  </r>
  <r>
    <s v="Mum-TCL110"/>
    <x v="109"/>
    <x v="5"/>
    <x v="12"/>
    <x v="61"/>
    <x v="61"/>
    <x v="43"/>
    <x v="61"/>
    <x v="86"/>
    <n v="500"/>
    <n v="0.71"/>
    <n v="0.29000000000000004"/>
  </r>
  <r>
    <s v="Mum-TCL111"/>
    <x v="110"/>
    <x v="6"/>
    <x v="55"/>
    <x v="9"/>
    <x v="39"/>
    <x v="39"/>
    <x v="33"/>
    <x v="87"/>
    <n v="500"/>
    <n v="0.64"/>
    <n v="0.36"/>
  </r>
  <r>
    <s v="Mum-TCL112"/>
    <x v="111"/>
    <x v="7"/>
    <x v="18"/>
    <x v="45"/>
    <x v="62"/>
    <x v="65"/>
    <x v="40"/>
    <x v="88"/>
    <n v="500"/>
    <n v="0.77800000000000002"/>
    <n v="0.22199999999999998"/>
  </r>
  <r>
    <s v="Mum-TCL113"/>
    <x v="112"/>
    <x v="0"/>
    <x v="42"/>
    <x v="11"/>
    <x v="63"/>
    <x v="34"/>
    <x v="11"/>
    <x v="89"/>
    <n v="500"/>
    <n v="0.622"/>
    <n v="0.378"/>
  </r>
  <r>
    <s v="Mum-TCL114"/>
    <x v="113"/>
    <x v="1"/>
    <x v="44"/>
    <x v="47"/>
    <x v="11"/>
    <x v="53"/>
    <x v="68"/>
    <x v="90"/>
    <n v="500"/>
    <n v="0.48599999999999999"/>
    <n v="0.51400000000000001"/>
  </r>
  <r>
    <s v="Mum-TCL115"/>
    <x v="114"/>
    <x v="2"/>
    <x v="2"/>
    <x v="57"/>
    <x v="64"/>
    <x v="22"/>
    <x v="20"/>
    <x v="31"/>
    <n v="500"/>
    <n v="0.42799999999999999"/>
    <n v="0.57200000000000006"/>
  </r>
  <r>
    <s v="Mum-TCL116"/>
    <x v="115"/>
    <x v="3"/>
    <x v="51"/>
    <x v="54"/>
    <x v="27"/>
    <x v="56"/>
    <x v="69"/>
    <x v="91"/>
    <n v="500"/>
    <n v="0.56599999999999995"/>
    <n v="0.43400000000000005"/>
  </r>
  <r>
    <s v="Mum-TCL117"/>
    <x v="116"/>
    <x v="4"/>
    <x v="63"/>
    <x v="62"/>
    <x v="27"/>
    <x v="66"/>
    <x v="32"/>
    <x v="55"/>
    <n v="500"/>
    <n v="0.33200000000000002"/>
    <n v="0.66799999999999993"/>
  </r>
  <r>
    <s v="Mum-TCL118"/>
    <x v="117"/>
    <x v="5"/>
    <x v="63"/>
    <x v="63"/>
    <x v="44"/>
    <x v="67"/>
    <x v="22"/>
    <x v="92"/>
    <n v="500"/>
    <n v="0.56000000000000005"/>
    <n v="0.43999999999999995"/>
  </r>
  <r>
    <s v="Mum-TCL119"/>
    <x v="118"/>
    <x v="6"/>
    <x v="18"/>
    <x v="46"/>
    <x v="65"/>
    <x v="41"/>
    <x v="32"/>
    <x v="93"/>
    <n v="500"/>
    <n v="0.51600000000000001"/>
    <n v="0.48399999999999999"/>
  </r>
  <r>
    <s v="Mum-TCL120"/>
    <x v="119"/>
    <x v="7"/>
    <x v="27"/>
    <x v="64"/>
    <x v="19"/>
    <x v="68"/>
    <x v="70"/>
    <x v="94"/>
    <n v="500"/>
    <n v="0.63200000000000001"/>
    <n v="0.36799999999999999"/>
  </r>
  <r>
    <s v="Mum-TCL121"/>
    <x v="120"/>
    <x v="0"/>
    <x v="30"/>
    <x v="22"/>
    <x v="32"/>
    <x v="32"/>
    <x v="54"/>
    <x v="49"/>
    <n v="500"/>
    <n v="0.6"/>
    <n v="0.4"/>
  </r>
  <r>
    <s v="Mum-TCL122"/>
    <x v="121"/>
    <x v="1"/>
    <x v="64"/>
    <x v="50"/>
    <x v="14"/>
    <x v="14"/>
    <x v="71"/>
    <x v="95"/>
    <n v="500"/>
    <n v="0.65400000000000003"/>
    <n v="0.34599999999999997"/>
  </r>
  <r>
    <s v="Mum-TCL123"/>
    <x v="122"/>
    <x v="2"/>
    <x v="65"/>
    <x v="49"/>
    <x v="66"/>
    <x v="59"/>
    <x v="28"/>
    <x v="64"/>
    <n v="500"/>
    <n v="0.44800000000000001"/>
    <n v="0.55200000000000005"/>
  </r>
  <r>
    <s v="Mum-TCL124"/>
    <x v="123"/>
    <x v="3"/>
    <x v="63"/>
    <x v="33"/>
    <x v="64"/>
    <x v="69"/>
    <x v="48"/>
    <x v="67"/>
    <n v="500"/>
    <n v="0.49"/>
    <n v="0.51"/>
  </r>
  <r>
    <s v="Mum-TCL125"/>
    <x v="124"/>
    <x v="4"/>
    <x v="58"/>
    <x v="41"/>
    <x v="67"/>
    <x v="15"/>
    <x v="72"/>
    <x v="96"/>
    <n v="500"/>
    <n v="0.60399999999999998"/>
    <n v="0.39600000000000002"/>
  </r>
  <r>
    <s v="Mum-TCL126"/>
    <x v="125"/>
    <x v="5"/>
    <x v="47"/>
    <x v="24"/>
    <x v="19"/>
    <x v="14"/>
    <x v="1"/>
    <x v="97"/>
    <n v="500"/>
    <n v="0.54600000000000004"/>
    <n v="0.45399999999999996"/>
  </r>
  <r>
    <s v="Mum-TCL127"/>
    <x v="126"/>
    <x v="6"/>
    <x v="66"/>
    <x v="64"/>
    <x v="61"/>
    <x v="36"/>
    <x v="38"/>
    <x v="46"/>
    <n v="500"/>
    <n v="0.64400000000000002"/>
    <n v="0.35599999999999998"/>
  </r>
  <r>
    <s v="Mum-TCL128"/>
    <x v="127"/>
    <x v="7"/>
    <x v="67"/>
    <x v="65"/>
    <x v="8"/>
    <x v="51"/>
    <x v="63"/>
    <x v="20"/>
    <n v="500"/>
    <n v="0.36599999999999999"/>
    <n v="0.63400000000000001"/>
  </r>
  <r>
    <s v="Mum-TCL129"/>
    <x v="128"/>
    <x v="0"/>
    <x v="63"/>
    <x v="1"/>
    <x v="67"/>
    <x v="43"/>
    <x v="9"/>
    <x v="13"/>
    <n v="500"/>
    <n v="0.61199999999999999"/>
    <n v="0.38800000000000001"/>
  </r>
  <r>
    <s v="Mum-TCL130"/>
    <x v="129"/>
    <x v="1"/>
    <x v="54"/>
    <x v="66"/>
    <x v="33"/>
    <x v="24"/>
    <x v="73"/>
    <x v="98"/>
    <n v="500"/>
    <n v="0.61399999999999999"/>
    <n v="0.38600000000000001"/>
  </r>
  <r>
    <s v="Mum-TCL131"/>
    <x v="130"/>
    <x v="2"/>
    <x v="68"/>
    <x v="2"/>
    <x v="26"/>
    <x v="36"/>
    <x v="53"/>
    <x v="86"/>
    <n v="500"/>
    <n v="0.71"/>
    <n v="0.29000000000000004"/>
  </r>
  <r>
    <s v="Mum-TCL132"/>
    <x v="131"/>
    <x v="3"/>
    <x v="51"/>
    <x v="67"/>
    <x v="25"/>
    <x v="9"/>
    <x v="4"/>
    <x v="33"/>
    <n v="500"/>
    <n v="0.52800000000000002"/>
    <n v="0.47199999999999998"/>
  </r>
  <r>
    <s v="Mum-TCL133"/>
    <x v="132"/>
    <x v="4"/>
    <x v="5"/>
    <x v="30"/>
    <x v="52"/>
    <x v="70"/>
    <x v="40"/>
    <x v="99"/>
    <n v="500"/>
    <n v="0.69199999999999995"/>
    <n v="0.30800000000000005"/>
  </r>
  <r>
    <s v="Mum-TCL134"/>
    <x v="133"/>
    <x v="5"/>
    <x v="19"/>
    <x v="63"/>
    <x v="36"/>
    <x v="38"/>
    <x v="45"/>
    <x v="50"/>
    <n v="500"/>
    <n v="0.434"/>
    <n v="0.56600000000000006"/>
  </r>
  <r>
    <s v="Mum-TCL135"/>
    <x v="134"/>
    <x v="6"/>
    <x v="27"/>
    <x v="17"/>
    <x v="35"/>
    <x v="71"/>
    <x v="44"/>
    <x v="100"/>
    <n v="500"/>
    <n v="0.54200000000000004"/>
    <n v="0.45799999999999996"/>
  </r>
  <r>
    <s v="Mum-TCL136"/>
    <x v="135"/>
    <x v="7"/>
    <x v="30"/>
    <x v="67"/>
    <x v="52"/>
    <x v="26"/>
    <x v="12"/>
    <x v="94"/>
    <n v="500"/>
    <n v="0.63200000000000001"/>
    <n v="0.36799999999999999"/>
  </r>
  <r>
    <s v="Mum-TCL137"/>
    <x v="136"/>
    <x v="0"/>
    <x v="7"/>
    <x v="36"/>
    <x v="4"/>
    <x v="72"/>
    <x v="74"/>
    <x v="3"/>
    <n v="500"/>
    <n v="0.57599999999999996"/>
    <n v="0.42400000000000004"/>
  </r>
  <r>
    <s v="Mum-TCL138"/>
    <x v="137"/>
    <x v="1"/>
    <x v="25"/>
    <x v="51"/>
    <x v="65"/>
    <x v="3"/>
    <x v="59"/>
    <x v="101"/>
    <n v="500"/>
    <n v="0.76400000000000001"/>
    <n v="0.23599999999999999"/>
  </r>
  <r>
    <s v="Mum-TCL139"/>
    <x v="138"/>
    <x v="2"/>
    <x v="69"/>
    <x v="68"/>
    <x v="33"/>
    <x v="4"/>
    <x v="68"/>
    <x v="94"/>
    <n v="500"/>
    <n v="0.63200000000000001"/>
    <n v="0.36799999999999999"/>
  </r>
  <r>
    <s v="Mum-TCL140"/>
    <x v="139"/>
    <x v="3"/>
    <x v="53"/>
    <x v="69"/>
    <x v="34"/>
    <x v="17"/>
    <x v="54"/>
    <x v="94"/>
    <n v="500"/>
    <n v="0.63200000000000001"/>
    <n v="0.36799999999999999"/>
  </r>
  <r>
    <s v="Mum-TCL141"/>
    <x v="140"/>
    <x v="4"/>
    <x v="56"/>
    <x v="9"/>
    <x v="68"/>
    <x v="0"/>
    <x v="75"/>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38FD878-C7E5-409B-BC7E-443E26D7DB99}" name="PivotTable6" cacheId="12" dataOnRows="1"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4">
  <location ref="W9:X14" firstHeaderRow="1" firstDataRow="1" firstDataCol="1" rowPageCount="5" colPageCount="1"/>
  <pivotFields count="12">
    <pivotField showAll="0"/>
    <pivotField showAll="0"/>
    <pivotField showAll="0"/>
    <pivotField axis="axisPage" dataField="1" showAll="0">
      <items count="71">
        <item x="28"/>
        <item x="16"/>
        <item x="48"/>
        <item x="14"/>
        <item x="38"/>
        <item x="24"/>
        <item x="35"/>
        <item x="39"/>
        <item x="17"/>
        <item x="64"/>
        <item x="37"/>
        <item x="62"/>
        <item x="65"/>
        <item x="63"/>
        <item x="26"/>
        <item x="58"/>
        <item x="46"/>
        <item x="40"/>
        <item x="4"/>
        <item x="15"/>
        <item x="55"/>
        <item x="22"/>
        <item x="47"/>
        <item x="67"/>
        <item x="42"/>
        <item x="1"/>
        <item x="2"/>
        <item x="56"/>
        <item x="23"/>
        <item x="52"/>
        <item x="0"/>
        <item x="50"/>
        <item x="45"/>
        <item x="3"/>
        <item x="8"/>
        <item x="60"/>
        <item x="21"/>
        <item x="66"/>
        <item x="61"/>
        <item x="9"/>
        <item x="27"/>
        <item x="31"/>
        <item x="19"/>
        <item x="32"/>
        <item x="51"/>
        <item x="25"/>
        <item x="7"/>
        <item x="33"/>
        <item x="43"/>
        <item x="41"/>
        <item x="53"/>
        <item x="13"/>
        <item x="10"/>
        <item x="34"/>
        <item x="54"/>
        <item x="29"/>
        <item x="12"/>
        <item x="6"/>
        <item x="69"/>
        <item x="5"/>
        <item x="44"/>
        <item x="36"/>
        <item x="68"/>
        <item x="30"/>
        <item x="59"/>
        <item x="18"/>
        <item x="11"/>
        <item x="57"/>
        <item x="49"/>
        <item x="20"/>
        <item t="default"/>
      </items>
    </pivotField>
    <pivotField axis="axisPage" dataField="1" showAll="0">
      <items count="71">
        <item x="46"/>
        <item x="40"/>
        <item x="28"/>
        <item x="38"/>
        <item x="47"/>
        <item x="33"/>
        <item x="10"/>
        <item x="29"/>
        <item x="53"/>
        <item x="67"/>
        <item x="19"/>
        <item x="27"/>
        <item x="65"/>
        <item x="14"/>
        <item x="8"/>
        <item x="6"/>
        <item x="25"/>
        <item x="5"/>
        <item x="17"/>
        <item x="39"/>
        <item x="35"/>
        <item x="22"/>
        <item x="37"/>
        <item x="54"/>
        <item x="68"/>
        <item x="48"/>
        <item x="57"/>
        <item x="16"/>
        <item x="56"/>
        <item x="51"/>
        <item x="31"/>
        <item x="9"/>
        <item x="60"/>
        <item x="4"/>
        <item x="41"/>
        <item x="13"/>
        <item x="26"/>
        <item x="30"/>
        <item x="63"/>
        <item x="61"/>
        <item x="52"/>
        <item x="62"/>
        <item x="24"/>
        <item x="36"/>
        <item x="66"/>
        <item x="15"/>
        <item x="42"/>
        <item x="20"/>
        <item x="34"/>
        <item x="18"/>
        <item x="45"/>
        <item x="44"/>
        <item x="12"/>
        <item x="43"/>
        <item x="2"/>
        <item x="55"/>
        <item x="69"/>
        <item x="32"/>
        <item x="49"/>
        <item x="0"/>
        <item x="1"/>
        <item x="21"/>
        <item x="11"/>
        <item x="23"/>
        <item x="59"/>
        <item x="64"/>
        <item x="50"/>
        <item x="58"/>
        <item x="7"/>
        <item x="3"/>
        <item t="default"/>
      </items>
    </pivotField>
    <pivotField axis="axisPage" dataField="1" showAll="0">
      <items count="70">
        <item x="34"/>
        <item x="11"/>
        <item x="36"/>
        <item x="3"/>
        <item x="35"/>
        <item x="60"/>
        <item x="27"/>
        <item x="21"/>
        <item x="8"/>
        <item x="56"/>
        <item x="55"/>
        <item x="5"/>
        <item x="30"/>
        <item x="66"/>
        <item x="46"/>
        <item x="20"/>
        <item x="61"/>
        <item x="32"/>
        <item x="13"/>
        <item x="63"/>
        <item x="6"/>
        <item x="9"/>
        <item x="28"/>
        <item x="41"/>
        <item x="53"/>
        <item x="31"/>
        <item x="14"/>
        <item x="45"/>
        <item x="1"/>
        <item x="19"/>
        <item x="4"/>
        <item x="57"/>
        <item x="7"/>
        <item x="42"/>
        <item x="68"/>
        <item x="47"/>
        <item x="52"/>
        <item x="64"/>
        <item x="51"/>
        <item x="49"/>
        <item x="17"/>
        <item x="54"/>
        <item x="12"/>
        <item x="50"/>
        <item x="25"/>
        <item x="43"/>
        <item x="39"/>
        <item x="33"/>
        <item x="67"/>
        <item x="29"/>
        <item x="23"/>
        <item x="59"/>
        <item x="40"/>
        <item x="38"/>
        <item x="62"/>
        <item x="58"/>
        <item x="48"/>
        <item x="2"/>
        <item x="44"/>
        <item x="37"/>
        <item x="16"/>
        <item x="24"/>
        <item x="65"/>
        <item x="22"/>
        <item x="10"/>
        <item x="15"/>
        <item x="18"/>
        <item x="0"/>
        <item x="26"/>
        <item t="default"/>
      </items>
    </pivotField>
    <pivotField axis="axisPage" dataField="1" showAll="0">
      <items count="74">
        <item x="22"/>
        <item x="10"/>
        <item x="52"/>
        <item x="46"/>
        <item x="1"/>
        <item x="44"/>
        <item x="29"/>
        <item x="37"/>
        <item x="47"/>
        <item x="12"/>
        <item x="54"/>
        <item x="7"/>
        <item x="63"/>
        <item x="4"/>
        <item x="66"/>
        <item x="50"/>
        <item x="64"/>
        <item x="41"/>
        <item x="58"/>
        <item x="48"/>
        <item x="21"/>
        <item x="49"/>
        <item x="8"/>
        <item x="62"/>
        <item x="38"/>
        <item x="53"/>
        <item x="45"/>
        <item x="20"/>
        <item x="18"/>
        <item x="33"/>
        <item x="65"/>
        <item x="5"/>
        <item x="70"/>
        <item x="9"/>
        <item x="34"/>
        <item x="32"/>
        <item x="72"/>
        <item x="56"/>
        <item x="40"/>
        <item x="36"/>
        <item x="30"/>
        <item x="55"/>
        <item x="31"/>
        <item x="17"/>
        <item x="15"/>
        <item x="0"/>
        <item x="59"/>
        <item x="60"/>
        <item x="14"/>
        <item x="67"/>
        <item x="24"/>
        <item x="2"/>
        <item x="23"/>
        <item x="19"/>
        <item x="27"/>
        <item x="11"/>
        <item x="6"/>
        <item x="42"/>
        <item x="51"/>
        <item x="43"/>
        <item x="13"/>
        <item x="26"/>
        <item x="71"/>
        <item x="25"/>
        <item x="57"/>
        <item x="61"/>
        <item x="69"/>
        <item x="28"/>
        <item x="3"/>
        <item x="68"/>
        <item x="35"/>
        <item x="16"/>
        <item x="39"/>
        <item t="default"/>
      </items>
    </pivotField>
    <pivotField axis="axisPage" dataField="1" showAll="0">
      <items count="77">
        <item x="25"/>
        <item x="50"/>
        <item x="73"/>
        <item x="36"/>
        <item x="70"/>
        <item x="63"/>
        <item x="51"/>
        <item x="18"/>
        <item x="62"/>
        <item x="8"/>
        <item x="39"/>
        <item x="28"/>
        <item x="43"/>
        <item x="64"/>
        <item x="46"/>
        <item x="53"/>
        <item x="35"/>
        <item x="3"/>
        <item x="32"/>
        <item x="14"/>
        <item x="22"/>
        <item x="23"/>
        <item x="45"/>
        <item x="9"/>
        <item x="16"/>
        <item x="52"/>
        <item x="13"/>
        <item x="0"/>
        <item x="37"/>
        <item x="74"/>
        <item x="47"/>
        <item x="15"/>
        <item x="55"/>
        <item x="29"/>
        <item x="1"/>
        <item x="4"/>
        <item x="48"/>
        <item x="10"/>
        <item x="20"/>
        <item x="7"/>
        <item x="58"/>
        <item x="66"/>
        <item x="34"/>
        <item x="42"/>
        <item x="33"/>
        <item x="31"/>
        <item x="12"/>
        <item x="30"/>
        <item x="56"/>
        <item x="75"/>
        <item x="49"/>
        <item x="27"/>
        <item x="17"/>
        <item x="44"/>
        <item x="41"/>
        <item x="59"/>
        <item x="72"/>
        <item x="65"/>
        <item x="5"/>
        <item x="38"/>
        <item x="6"/>
        <item x="57"/>
        <item x="54"/>
        <item x="67"/>
        <item x="68"/>
        <item x="26"/>
        <item x="40"/>
        <item x="11"/>
        <item x="21"/>
        <item x="19"/>
        <item x="2"/>
        <item x="61"/>
        <item x="69"/>
        <item x="24"/>
        <item x="71"/>
        <item x="60"/>
        <item t="default"/>
      </items>
    </pivotField>
    <pivotField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2"/>
  </rowFields>
  <rowItems count="5">
    <i>
      <x/>
    </i>
    <i i="1">
      <x v="1"/>
    </i>
    <i i="2">
      <x v="2"/>
    </i>
    <i i="3">
      <x v="3"/>
    </i>
    <i i="4">
      <x v="4"/>
    </i>
  </rowItems>
  <colItems count="1">
    <i/>
  </colItems>
  <pageFields count="5">
    <pageField fld="3" hier="-1"/>
    <pageField fld="4" hier="-1"/>
    <pageField fld="5" hier="-1"/>
    <pageField fld="6" hier="-1"/>
    <pageField fld="7" hier="-1"/>
  </pageFields>
  <dataFields count="5">
    <dataField name="Day 1" fld="3" baseField="0" baseItem="0"/>
    <dataField name="Day 2" fld="4" baseField="0" baseItem="0"/>
    <dataField name="Day 3" fld="5" baseField="0" baseItem="0"/>
    <dataField name="Day 4" fld="6" baseField="0" baseItem="0"/>
    <dataField name="Day 5" fld="7"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1E5DA0-9CCB-46D8-AFDD-D6C7A630DE67}" name="PivotTable3" cacheId="12"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chartFormat="4">
  <location ref="T2:U11" firstHeaderRow="1" firstDataRow="1" firstDataCol="1"/>
  <pivotFields count="12">
    <pivotField showAll="0"/>
    <pivotField showAll="0"/>
    <pivotField axis="axisRow" showAll="0">
      <items count="9">
        <item x="3"/>
        <item x="1"/>
        <item x="0"/>
        <item x="2"/>
        <item x="5"/>
        <item x="4"/>
        <item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2"/>
  </rowFields>
  <rowItems count="9">
    <i>
      <x/>
    </i>
    <i>
      <x v="1"/>
    </i>
    <i>
      <x v="2"/>
    </i>
    <i>
      <x v="3"/>
    </i>
    <i>
      <x v="4"/>
    </i>
    <i>
      <x v="5"/>
    </i>
    <i>
      <x v="6"/>
    </i>
    <i>
      <x v="7"/>
    </i>
    <i t="grand">
      <x/>
    </i>
  </rowItems>
  <colItems count="1">
    <i/>
  </colItems>
  <dataFields count="1">
    <dataField name="Sum of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AD37A8-AF4B-49DB-BFD1-CC08E07F3C30}" name="PivotTable5" cacheId="1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0">
  <location ref="Q9:R14"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90"/>
    </i>
    <i>
      <x v="49"/>
    </i>
    <i>
      <x v="57"/>
    </i>
    <i>
      <x v="7"/>
    </i>
    <i>
      <x v="73"/>
    </i>
  </rowItems>
  <colItems count="1">
    <i/>
  </colItems>
  <dataFields count="1">
    <dataField name="Away From Target %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6CC11C7-C7BB-4AEC-889A-D89668F50929}" name="PivotTable4" cacheId="1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9">
  <location ref="Q2:R7" firstHeaderRow="1" firstDataRow="1" firstDataCol="1"/>
  <pivotFields count="12">
    <pivotField showAll="0"/>
    <pivotField axis="axisRow"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114"/>
    </i>
    <i>
      <x v="98"/>
    </i>
    <i>
      <x v="41"/>
    </i>
    <i>
      <x v="122"/>
    </i>
  </rowItems>
  <colItems count="1">
    <i/>
  </colItems>
  <dataFields count="1">
    <dataField name="Target Hit % " fld="10" baseField="1" baseItem="3" numFmtId="10"/>
  </dataFields>
  <formats count="1">
    <format dxfId="0">
      <pivotArea field="1" type="button" dataOnly="0" labelOnly="1" outline="0" axis="axisRow"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93F7BA7-3DE0-46EB-8CFB-A4AD9C7C17F4}" name="PivotTable2" cacheId="1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N9:O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Medium3"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959AD77-778B-4B48-BBC6-B840F6A134B8}" name="PivotTable1" cacheId="12"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7" rowHeaderCaption="Sales Executive">
  <location ref="N2:O7" firstHeaderRow="1" firstDataRow="1" firstDataCol="1"/>
  <pivotFields count="12">
    <pivotField showAll="0"/>
    <pivotField axis="axisRow" showAll="0" measureFilter="1" sortType="ascending">
      <items count="142">
        <item x="1"/>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2"/>
        <item x="127"/>
        <item x="4"/>
        <item x="128"/>
        <item x="129"/>
        <item x="130"/>
        <item x="131"/>
        <item x="132"/>
        <item x="133"/>
        <item x="134"/>
        <item x="135"/>
        <item x="136"/>
        <item x="137"/>
        <item x="138"/>
        <item x="139"/>
        <item x="140"/>
        <item t="default"/>
      </items>
      <autoSortScope>
        <pivotArea dataOnly="0" outline="0" fieldPosition="0">
          <references count="1">
            <reference field="4294967294" count="1" selected="0">
              <x v="0"/>
            </reference>
          </references>
        </pivotArea>
      </autoSortScope>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8"/>
    </i>
    <i>
      <x v="99"/>
    </i>
    <i>
      <x v="42"/>
    </i>
    <i>
      <x v="26"/>
    </i>
    <i>
      <x v="10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64A6261-8129-4B68-8FF3-017604F504B4}" sourceName="Region">
  <pivotTables>
    <pivotTable tabId="4" name="PivotTable1"/>
    <pivotTable tabId="4" name="PivotTable2"/>
    <pivotTable tabId="4" name="PivotTable4"/>
    <pivotTable tabId="4" name="PivotTable5"/>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1F724E11-2D0D-4A28-AEC1-FF0F4412BC31}" cache="Slicer_Region1" caption="Region" columnCount="8" showCaption="0" style="Slicer Style 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5"/>
  <sheetViews>
    <sheetView tabSelected="1" zoomScale="130" zoomScaleNormal="130" workbookViewId="0">
      <selection activeCell="O13" sqref="O13"/>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row r="145" spans="2:9" x14ac:dyDescent="0.3">
      <c r="B145">
        <f>COUNTA(_xlfn.UNIQUE(B2:B142))</f>
        <v>141</v>
      </c>
      <c r="I145" s="17">
        <f xml:space="preserve"> SUM(I2:I142)</f>
        <v>38945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791FA-6A84-4798-B5D9-92E334947BC7}">
  <sheetPr codeName="Sheet3"/>
  <dimension ref="A1:X29"/>
  <sheetViews>
    <sheetView zoomScale="115" zoomScaleNormal="115" workbookViewId="0">
      <selection activeCell="J12" sqref="J12"/>
    </sheetView>
  </sheetViews>
  <sheetFormatPr defaultRowHeight="14.4" x14ac:dyDescent="0.3"/>
  <cols>
    <col min="1" max="1" width="16" bestFit="1" customWidth="1"/>
    <col min="2" max="2" width="10.33203125" bestFit="1" customWidth="1"/>
    <col min="3" max="3" width="0.77734375" customWidth="1"/>
    <col min="4" max="4" width="15.6640625" bestFit="1" customWidth="1"/>
    <col min="5" max="5" width="12.5546875" bestFit="1" customWidth="1"/>
    <col min="6" max="6" width="16.44140625" bestFit="1" customWidth="1"/>
    <col min="7" max="7" width="25.6640625" customWidth="1"/>
    <col min="8" max="8" width="11.5546875" bestFit="1" customWidth="1"/>
    <col min="9" max="9" width="0.77734375" customWidth="1"/>
    <col min="10" max="10" width="29.44140625" customWidth="1"/>
    <col min="11" max="11" width="18.88671875" bestFit="1" customWidth="1"/>
    <col min="15" max="15" width="16.44140625" customWidth="1"/>
    <col min="16" max="16" width="15.6640625" customWidth="1"/>
    <col min="17" max="17" width="12.109375" customWidth="1"/>
    <col min="18" max="18" width="20.33203125" customWidth="1"/>
    <col min="19" max="19" width="6.33203125" bestFit="1" customWidth="1"/>
    <col min="20" max="20" width="11.6640625" bestFit="1" customWidth="1"/>
    <col min="21" max="21" width="19.5546875" customWidth="1"/>
    <col min="22" max="22" width="17.77734375" customWidth="1"/>
    <col min="23" max="23" width="18.88671875" customWidth="1"/>
    <col min="24" max="24" width="6.33203125" bestFit="1" customWidth="1"/>
    <col min="25" max="37" width="4.109375" bestFit="1" customWidth="1"/>
    <col min="38" max="38" width="5.109375" bestFit="1" customWidth="1"/>
    <col min="39" max="58" width="4.109375" bestFit="1" customWidth="1"/>
    <col min="59" max="59" width="5.109375" bestFit="1" customWidth="1"/>
    <col min="60" max="63" width="4.109375" bestFit="1" customWidth="1"/>
    <col min="64" max="64" width="5.109375" bestFit="1" customWidth="1"/>
    <col min="65" max="72" width="4.109375" bestFit="1" customWidth="1"/>
    <col min="73" max="73" width="5.109375" bestFit="1" customWidth="1"/>
    <col min="74" max="74" width="4.109375" bestFit="1" customWidth="1"/>
    <col min="75" max="75" width="5.109375" bestFit="1" customWidth="1"/>
    <col min="76" max="77" width="4.109375" bestFit="1" customWidth="1"/>
    <col min="78" max="78" width="5.109375" bestFit="1" customWidth="1"/>
    <col min="79" max="83" width="4.109375" bestFit="1" customWidth="1"/>
    <col min="84" max="84" width="5.109375" bestFit="1" customWidth="1"/>
    <col min="85" max="88" width="4.109375" bestFit="1" customWidth="1"/>
    <col min="89" max="89" width="10.77734375" bestFit="1" customWidth="1"/>
  </cols>
  <sheetData>
    <row r="1" spans="1:24" ht="28.2" customHeight="1" x14ac:dyDescent="0.3">
      <c r="A1" s="16"/>
      <c r="B1" s="16"/>
      <c r="C1" s="16"/>
      <c r="D1" s="16"/>
      <c r="E1" s="16"/>
      <c r="F1" s="16"/>
      <c r="G1" s="16"/>
      <c r="H1" s="16"/>
      <c r="I1" s="16"/>
      <c r="J1" s="16"/>
      <c r="K1" s="16"/>
      <c r="L1" s="16"/>
      <c r="M1" s="16"/>
      <c r="N1" s="16"/>
      <c r="O1" s="16"/>
    </row>
    <row r="2" spans="1:24" ht="36.6" customHeight="1" x14ac:dyDescent="0.3">
      <c r="A2" s="16"/>
      <c r="B2" s="16"/>
      <c r="C2" s="16"/>
      <c r="D2" s="16"/>
      <c r="E2" s="16"/>
      <c r="F2" s="16"/>
      <c r="G2" s="16"/>
      <c r="H2" s="16"/>
      <c r="I2" s="16"/>
      <c r="J2" s="16"/>
      <c r="K2" s="16"/>
      <c r="L2" s="16"/>
      <c r="M2" s="16"/>
      <c r="N2" s="9" t="s">
        <v>1</v>
      </c>
      <c r="O2" t="s">
        <v>302</v>
      </c>
      <c r="Q2" s="13" t="s">
        <v>303</v>
      </c>
      <c r="R2" t="s">
        <v>304</v>
      </c>
      <c r="T2" s="9" t="s">
        <v>303</v>
      </c>
      <c r="U2" t="s">
        <v>307</v>
      </c>
    </row>
    <row r="3" spans="1:24" x14ac:dyDescent="0.3">
      <c r="A3" s="15"/>
      <c r="B3" s="15"/>
      <c r="C3" s="15"/>
      <c r="D3" s="15"/>
      <c r="E3" s="15"/>
      <c r="F3" s="15"/>
      <c r="G3" s="15"/>
      <c r="H3" s="15"/>
      <c r="I3" s="15"/>
      <c r="J3" s="15"/>
      <c r="K3" s="15"/>
      <c r="L3" s="15"/>
      <c r="M3" s="15"/>
      <c r="N3" s="10" t="s">
        <v>63</v>
      </c>
      <c r="O3" s="14">
        <v>301</v>
      </c>
      <c r="Q3" s="10" t="s">
        <v>239</v>
      </c>
      <c r="R3" s="11">
        <v>0.71</v>
      </c>
      <c r="T3" s="10" t="s">
        <v>23</v>
      </c>
      <c r="U3" s="14">
        <v>5063</v>
      </c>
      <c r="W3" s="9" t="s">
        <v>3</v>
      </c>
      <c r="X3" t="s">
        <v>308</v>
      </c>
    </row>
    <row r="4" spans="1:24" x14ac:dyDescent="0.3">
      <c r="A4" s="15"/>
      <c r="B4" s="15"/>
      <c r="C4" s="15"/>
      <c r="D4" s="15"/>
      <c r="E4" s="15"/>
      <c r="F4" s="15"/>
      <c r="G4" s="15"/>
      <c r="H4" s="15"/>
      <c r="I4" s="15"/>
      <c r="J4" s="15"/>
      <c r="K4" s="15"/>
      <c r="L4" s="15"/>
      <c r="M4" s="15"/>
      <c r="N4" s="10" t="s">
        <v>223</v>
      </c>
      <c r="O4" s="14">
        <v>322</v>
      </c>
      <c r="Q4" s="10" t="s">
        <v>79</v>
      </c>
      <c r="R4" s="11">
        <v>0.70599999999999996</v>
      </c>
      <c r="T4" s="10" t="s">
        <v>17</v>
      </c>
      <c r="U4" s="14">
        <v>4965</v>
      </c>
      <c r="W4" s="9" t="s">
        <v>4</v>
      </c>
      <c r="X4" t="s">
        <v>308</v>
      </c>
    </row>
    <row r="5" spans="1:24" x14ac:dyDescent="0.3">
      <c r="A5" s="15"/>
      <c r="B5" s="15"/>
      <c r="C5" s="15"/>
      <c r="D5" s="15"/>
      <c r="E5" s="15"/>
      <c r="F5" s="15"/>
      <c r="G5" s="15"/>
      <c r="H5" s="15"/>
      <c r="I5" s="15"/>
      <c r="J5" s="15"/>
      <c r="K5" s="15"/>
      <c r="L5" s="15"/>
      <c r="M5" s="15"/>
      <c r="N5" s="10" t="s">
        <v>111</v>
      </c>
      <c r="O5" s="14">
        <v>350</v>
      </c>
      <c r="Q5" s="10" t="s">
        <v>111</v>
      </c>
      <c r="R5" s="11">
        <v>0.7</v>
      </c>
      <c r="T5" s="10" t="s">
        <v>14</v>
      </c>
      <c r="U5" s="14">
        <v>5197</v>
      </c>
      <c r="W5" s="9" t="s">
        <v>5</v>
      </c>
      <c r="X5" t="s">
        <v>308</v>
      </c>
    </row>
    <row r="6" spans="1:24" x14ac:dyDescent="0.3">
      <c r="A6" s="15"/>
      <c r="B6" s="15"/>
      <c r="C6" s="15"/>
      <c r="D6" s="15"/>
      <c r="E6" s="15"/>
      <c r="F6" s="15"/>
      <c r="G6" s="15"/>
      <c r="H6" s="15"/>
      <c r="I6" s="15"/>
      <c r="J6" s="15"/>
      <c r="K6" s="15"/>
      <c r="L6" s="15"/>
      <c r="M6" s="15"/>
      <c r="N6" s="10" t="s">
        <v>79</v>
      </c>
      <c r="O6" s="14">
        <v>353</v>
      </c>
      <c r="Q6" s="10" t="s">
        <v>223</v>
      </c>
      <c r="R6" s="11">
        <v>0.64400000000000002</v>
      </c>
      <c r="T6" s="10" t="s">
        <v>20</v>
      </c>
      <c r="U6" s="14">
        <v>5248</v>
      </c>
      <c r="W6" s="9" t="s">
        <v>6</v>
      </c>
      <c r="X6" t="s">
        <v>308</v>
      </c>
    </row>
    <row r="7" spans="1:24" x14ac:dyDescent="0.3">
      <c r="A7" s="15"/>
      <c r="B7" s="15"/>
      <c r="C7" s="15"/>
      <c r="D7" s="15"/>
      <c r="E7" s="15"/>
      <c r="F7" s="15"/>
      <c r="G7" s="15"/>
      <c r="H7" s="15"/>
      <c r="I7" s="15"/>
      <c r="J7" s="15"/>
      <c r="K7" s="15"/>
      <c r="L7" s="15"/>
      <c r="M7" s="15"/>
      <c r="N7" s="10" t="s">
        <v>239</v>
      </c>
      <c r="O7" s="14">
        <v>355</v>
      </c>
      <c r="Q7" s="10" t="s">
        <v>63</v>
      </c>
      <c r="R7" s="11">
        <v>0.60199999999999998</v>
      </c>
      <c r="T7" s="10" t="s">
        <v>29</v>
      </c>
      <c r="U7" s="14">
        <v>4597</v>
      </c>
      <c r="W7" s="9" t="s">
        <v>7</v>
      </c>
      <c r="X7" t="s">
        <v>308</v>
      </c>
    </row>
    <row r="8" spans="1:24" x14ac:dyDescent="0.3">
      <c r="A8" s="15"/>
      <c r="B8" s="15"/>
      <c r="C8" s="15"/>
      <c r="D8" s="15"/>
      <c r="E8" s="15"/>
      <c r="F8" s="15"/>
      <c r="G8" s="15"/>
      <c r="H8" s="15"/>
      <c r="I8" s="15"/>
      <c r="J8" s="15"/>
      <c r="K8" s="15"/>
      <c r="L8" s="15"/>
      <c r="M8" s="15"/>
      <c r="N8" s="15"/>
      <c r="T8" s="10" t="s">
        <v>26</v>
      </c>
      <c r="U8" s="14">
        <v>5067</v>
      </c>
    </row>
    <row r="9" spans="1:24" x14ac:dyDescent="0.3">
      <c r="A9" s="15"/>
      <c r="B9" s="15"/>
      <c r="C9" s="15"/>
      <c r="D9" s="15"/>
      <c r="E9" s="15"/>
      <c r="F9" s="15"/>
      <c r="G9" s="15"/>
      <c r="H9" s="15"/>
      <c r="I9" s="15"/>
      <c r="J9" s="15"/>
      <c r="K9" s="15"/>
      <c r="L9" s="15"/>
      <c r="M9" s="15"/>
      <c r="N9" s="9" t="s">
        <v>1</v>
      </c>
      <c r="O9" t="s">
        <v>302</v>
      </c>
      <c r="Q9" s="9" t="s">
        <v>303</v>
      </c>
      <c r="R9" t="s">
        <v>305</v>
      </c>
      <c r="T9" s="10" t="s">
        <v>32</v>
      </c>
      <c r="U9" s="14">
        <v>4296</v>
      </c>
      <c r="W9" s="9" t="s">
        <v>309</v>
      </c>
    </row>
    <row r="10" spans="1:24" x14ac:dyDescent="0.3">
      <c r="A10" s="12"/>
      <c r="B10" s="12"/>
      <c r="C10" s="12"/>
      <c r="D10" s="12"/>
      <c r="H10" s="12"/>
      <c r="I10" s="12"/>
      <c r="J10" s="15"/>
      <c r="K10" s="15"/>
      <c r="L10" s="15"/>
      <c r="M10" s="15"/>
      <c r="N10" s="10" t="s">
        <v>287</v>
      </c>
      <c r="O10" s="14">
        <v>217</v>
      </c>
      <c r="Q10" s="10" t="s">
        <v>127</v>
      </c>
      <c r="R10" s="11">
        <v>0.622</v>
      </c>
      <c r="T10" s="10" t="s">
        <v>35</v>
      </c>
      <c r="U10" s="14">
        <v>4512</v>
      </c>
      <c r="W10" s="10" t="s">
        <v>310</v>
      </c>
      <c r="X10" s="14">
        <v>7922</v>
      </c>
    </row>
    <row r="11" spans="1:24" x14ac:dyDescent="0.3">
      <c r="A11" s="12"/>
      <c r="B11" s="12"/>
      <c r="C11" s="12"/>
      <c r="D11" s="12"/>
      <c r="H11" s="12"/>
      <c r="I11" s="12"/>
      <c r="J11" s="15"/>
      <c r="K11" s="15"/>
      <c r="L11" s="15"/>
      <c r="M11" s="15"/>
      <c r="N11" s="10" t="s">
        <v>207</v>
      </c>
      <c r="O11" s="14">
        <v>205</v>
      </c>
      <c r="Q11" s="10" t="s">
        <v>207</v>
      </c>
      <c r="R11" s="11">
        <v>0.59000000000000008</v>
      </c>
      <c r="T11" s="10" t="s">
        <v>306</v>
      </c>
      <c r="U11" s="14">
        <v>38945</v>
      </c>
      <c r="W11" s="10" t="s">
        <v>311</v>
      </c>
      <c r="X11" s="14">
        <v>7965</v>
      </c>
    </row>
    <row r="12" spans="1:24" x14ac:dyDescent="0.3">
      <c r="A12" s="12"/>
      <c r="B12" s="12"/>
      <c r="C12" s="12"/>
      <c r="D12" s="12"/>
      <c r="E12" s="15"/>
      <c r="G12" s="15"/>
      <c r="H12" s="12"/>
      <c r="I12" s="12"/>
      <c r="J12" s="15"/>
      <c r="K12" s="15"/>
      <c r="L12" s="15"/>
      <c r="M12" s="15"/>
      <c r="N12" s="10" t="s">
        <v>191</v>
      </c>
      <c r="O12" s="14">
        <v>215</v>
      </c>
      <c r="Q12" s="10" t="s">
        <v>191</v>
      </c>
      <c r="R12" s="11">
        <v>0.57000000000000006</v>
      </c>
      <c r="W12" s="10" t="s">
        <v>312</v>
      </c>
      <c r="X12" s="14">
        <v>7383</v>
      </c>
    </row>
    <row r="13" spans="1:24" x14ac:dyDescent="0.3">
      <c r="A13" s="12"/>
      <c r="B13" s="12"/>
      <c r="C13" s="12"/>
      <c r="D13" s="12"/>
      <c r="E13" s="15"/>
      <c r="G13" s="15"/>
      <c r="H13" s="12"/>
      <c r="I13" s="12"/>
      <c r="J13" s="15"/>
      <c r="K13" s="15"/>
      <c r="L13" s="15"/>
      <c r="M13" s="15"/>
      <c r="N13" s="10" t="s">
        <v>159</v>
      </c>
      <c r="O13" s="14">
        <v>229</v>
      </c>
      <c r="Q13" s="10" t="s">
        <v>287</v>
      </c>
      <c r="R13" s="11">
        <v>0.56600000000000006</v>
      </c>
      <c r="W13" s="10" t="s">
        <v>313</v>
      </c>
      <c r="X13" s="14">
        <v>8323</v>
      </c>
    </row>
    <row r="14" spans="1:24" x14ac:dyDescent="0.3">
      <c r="A14" s="12"/>
      <c r="B14" s="12"/>
      <c r="C14" s="12"/>
      <c r="D14" s="12"/>
      <c r="E14" s="15"/>
      <c r="G14" s="15"/>
      <c r="H14" s="12"/>
      <c r="I14" s="12"/>
      <c r="J14" s="15"/>
      <c r="K14" s="15"/>
      <c r="L14" s="15"/>
      <c r="M14" s="15"/>
      <c r="N14" s="10" t="s">
        <v>127</v>
      </c>
      <c r="O14" s="14">
        <v>189</v>
      </c>
      <c r="Q14" s="10" t="s">
        <v>159</v>
      </c>
      <c r="R14" s="11">
        <v>0.54200000000000004</v>
      </c>
      <c r="W14" s="10" t="s">
        <v>314</v>
      </c>
      <c r="X14" s="14">
        <v>7352</v>
      </c>
    </row>
    <row r="15" spans="1:24" x14ac:dyDescent="0.3">
      <c r="A15" s="12"/>
      <c r="B15" s="12"/>
      <c r="C15" s="12"/>
      <c r="D15" s="12"/>
      <c r="E15" s="15"/>
      <c r="G15" s="15"/>
      <c r="H15" s="12"/>
      <c r="I15" s="12"/>
      <c r="J15" s="15"/>
      <c r="K15" s="15"/>
      <c r="L15" s="15"/>
      <c r="M15" s="15"/>
      <c r="N15" s="15"/>
      <c r="O15" s="15"/>
    </row>
    <row r="16" spans="1:24" x14ac:dyDescent="0.3">
      <c r="A16" s="12"/>
      <c r="B16" s="12"/>
      <c r="C16" s="12"/>
      <c r="D16" s="12"/>
      <c r="E16" s="15"/>
      <c r="G16" s="15"/>
      <c r="H16" s="12"/>
      <c r="I16" s="12"/>
      <c r="J16" s="15"/>
      <c r="K16" s="15"/>
      <c r="L16" s="15"/>
      <c r="M16" s="15"/>
      <c r="N16" s="15"/>
      <c r="O16" s="15"/>
    </row>
    <row r="17" spans="1:15" x14ac:dyDescent="0.3">
      <c r="A17" s="12"/>
      <c r="B17" s="12"/>
      <c r="C17" s="12"/>
      <c r="D17" s="12"/>
      <c r="E17" s="15"/>
      <c r="G17" s="15"/>
      <c r="H17" s="12"/>
      <c r="I17" s="12"/>
      <c r="J17" s="15"/>
      <c r="K17" s="15"/>
      <c r="L17" s="15"/>
      <c r="M17" s="15"/>
      <c r="N17" s="15"/>
      <c r="O17" s="15"/>
    </row>
    <row r="18" spans="1:15" x14ac:dyDescent="0.3">
      <c r="A18" s="12"/>
      <c r="B18" s="12"/>
      <c r="C18" s="12"/>
      <c r="D18" s="12"/>
      <c r="E18" s="15"/>
      <c r="G18" s="15"/>
      <c r="H18" s="12"/>
      <c r="I18" s="12"/>
      <c r="J18" s="15"/>
      <c r="K18" s="15"/>
      <c r="L18" s="15"/>
      <c r="M18" s="15"/>
      <c r="N18" s="15"/>
      <c r="O18" s="15"/>
    </row>
    <row r="19" spans="1:15" x14ac:dyDescent="0.3">
      <c r="A19" s="12"/>
      <c r="B19" s="12"/>
      <c r="C19" s="12"/>
      <c r="D19" s="12"/>
      <c r="E19" s="15"/>
      <c r="G19" s="15"/>
      <c r="H19" s="12"/>
      <c r="I19" s="12"/>
      <c r="J19" s="15"/>
      <c r="K19" s="15"/>
      <c r="L19" s="15"/>
      <c r="M19" s="15"/>
      <c r="N19" s="15"/>
      <c r="O19" s="15"/>
    </row>
    <row r="20" spans="1:15" x14ac:dyDescent="0.3">
      <c r="A20" s="12"/>
      <c r="B20" s="12"/>
      <c r="C20" s="12"/>
      <c r="D20" s="12"/>
      <c r="E20" s="15"/>
      <c r="G20" s="15"/>
      <c r="H20" s="12"/>
      <c r="I20" s="12"/>
      <c r="J20" s="15"/>
      <c r="K20" s="15"/>
      <c r="L20" s="15"/>
      <c r="M20" s="15"/>
      <c r="N20" s="15"/>
      <c r="O20" s="15"/>
    </row>
    <row r="21" spans="1:15" x14ac:dyDescent="0.3">
      <c r="A21" s="12"/>
      <c r="B21" s="12"/>
      <c r="C21" s="12"/>
      <c r="D21" s="12"/>
      <c r="E21" s="15"/>
      <c r="F21" s="12"/>
      <c r="G21" s="15"/>
      <c r="H21" s="12"/>
      <c r="I21" s="12"/>
      <c r="J21" s="15"/>
      <c r="K21" s="15"/>
      <c r="L21" s="15"/>
      <c r="M21" s="15"/>
      <c r="N21" s="15"/>
      <c r="O21" s="15"/>
    </row>
    <row r="22" spans="1:15" x14ac:dyDescent="0.3">
      <c r="A22" s="12"/>
      <c r="B22" s="12"/>
      <c r="C22" s="12"/>
      <c r="D22" s="12"/>
      <c r="E22" s="12"/>
      <c r="F22" s="12"/>
      <c r="G22" s="12"/>
      <c r="H22" s="12"/>
      <c r="I22" s="12"/>
      <c r="J22" s="12"/>
      <c r="K22" s="15"/>
      <c r="L22" s="15"/>
      <c r="M22" s="15"/>
      <c r="N22" s="15"/>
      <c r="O22" s="15"/>
    </row>
    <row r="23" spans="1:15" x14ac:dyDescent="0.3">
      <c r="A23" s="12"/>
      <c r="B23" s="12"/>
      <c r="C23" s="12"/>
      <c r="D23" s="12"/>
      <c r="E23" s="12"/>
      <c r="F23" s="12"/>
      <c r="G23" s="12"/>
      <c r="H23" s="12"/>
      <c r="I23" s="12"/>
      <c r="J23" s="12"/>
      <c r="K23" s="15"/>
      <c r="L23" s="15"/>
      <c r="M23" s="15"/>
      <c r="N23" s="15"/>
      <c r="O23" s="15"/>
    </row>
    <row r="24" spans="1:15" x14ac:dyDescent="0.3">
      <c r="A24" s="12"/>
      <c r="B24" s="12"/>
      <c r="C24" s="12"/>
      <c r="D24" s="12"/>
      <c r="E24" s="12"/>
      <c r="F24" s="12"/>
      <c r="G24" s="12"/>
      <c r="H24" s="12"/>
      <c r="I24" s="12"/>
      <c r="J24" s="12"/>
      <c r="K24" s="12"/>
    </row>
    <row r="25" spans="1:15" x14ac:dyDescent="0.3">
      <c r="A25" s="12"/>
      <c r="B25" s="12"/>
      <c r="C25" s="12"/>
      <c r="D25" s="12"/>
      <c r="E25" s="12"/>
      <c r="F25" s="12"/>
      <c r="G25" s="12"/>
      <c r="H25" s="12"/>
      <c r="I25" s="12"/>
      <c r="J25" s="12"/>
      <c r="K25" s="12"/>
    </row>
    <row r="26" spans="1:15" x14ac:dyDescent="0.3">
      <c r="A26" s="12"/>
      <c r="B26" s="12"/>
      <c r="C26" s="12"/>
      <c r="D26" s="12"/>
      <c r="E26" s="12"/>
      <c r="F26" s="12"/>
      <c r="G26" s="12"/>
      <c r="H26" s="12"/>
      <c r="I26" s="12"/>
      <c r="J26" s="12"/>
      <c r="K26" s="12"/>
    </row>
    <row r="27" spans="1:15" x14ac:dyDescent="0.3">
      <c r="A27" s="12"/>
      <c r="B27" s="12"/>
      <c r="C27" s="12"/>
      <c r="D27" s="12"/>
      <c r="E27" s="12"/>
      <c r="F27" s="12"/>
      <c r="G27" s="12"/>
      <c r="H27" s="12"/>
      <c r="I27" s="12"/>
      <c r="J27" s="12"/>
      <c r="K27" s="12"/>
    </row>
    <row r="28" spans="1:15" x14ac:dyDescent="0.3">
      <c r="A28" s="12"/>
      <c r="B28" s="12"/>
      <c r="C28" s="12"/>
      <c r="D28" s="12"/>
      <c r="E28" s="12"/>
      <c r="F28" s="12"/>
      <c r="G28" s="12"/>
      <c r="H28" s="12"/>
      <c r="I28" s="12"/>
      <c r="J28" s="12"/>
      <c r="K28" s="12"/>
    </row>
    <row r="29" spans="1:15" x14ac:dyDescent="0.3">
      <c r="A29" s="12"/>
      <c r="B29" s="12"/>
      <c r="C29" s="12"/>
      <c r="D29" s="12"/>
      <c r="E29" s="12"/>
      <c r="F29" s="12"/>
      <c r="G29" s="12"/>
      <c r="H29" s="12"/>
      <c r="I29" s="12"/>
      <c r="J29" s="12"/>
      <c r="K29" s="12"/>
    </row>
  </sheetData>
  <pageMargins left="0.7" right="0.7" top="0.75" bottom="0.75" header="0.3" footer="0.3"/>
  <drawing r:id="rId7"/>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Aditya Patayane</cp:lastModifiedBy>
  <dcterms:created xsi:type="dcterms:W3CDTF">2022-05-30T01:30:00Z</dcterms:created>
  <dcterms:modified xsi:type="dcterms:W3CDTF">2026-01-09T10:23:03Z</dcterms:modified>
</cp:coreProperties>
</file>